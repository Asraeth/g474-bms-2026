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https://livemanchesterac.sharepoint.com/sites/uom_fs_drive/Shared Documents/7. 2026-2027/2. Subteam Resources/HV/"/>
    </mc:Choice>
  </mc:AlternateContent>
  <xr:revisionPtr revIDLastSave="615" documentId="11_F25DC773A252ABDACC10484979DE53C05ADE58EA" xr6:coauthVersionLast="47" xr6:coauthVersionMax="47" xr10:uidLastSave="{3E9626F2-F0A2-416F-AEC7-362D0ABBD2B4}"/>
  <bookViews>
    <workbookView xWindow="6570" yWindow="-16320" windowWidth="29040" windowHeight="15720" firstSheet="2" activeTab="2" xr2:uid="{00000000-000D-0000-FFFF-FFFF00000000}"/>
  </bookViews>
  <sheets>
    <sheet name="Template" sheetId="3" r:id="rId1"/>
    <sheet name="12-08-2026" sheetId="4" r:id="rId2"/>
    <sheet name="Model" sheetId="1" r:id="rId3"/>
  </sheets>
  <definedNames>
    <definedName name="SocToV" xml:space="preserve"> _xlfn.LAMBDA(_xlpm.s,SUMPRODUCT(Model!$E$6:$E$30,COS(Model!$D$6:$D$30*ACOS(MAX(-1,MIN(1,2*(_xlpm.s/100)-1))))))</definedName>
    <definedName name="VToSoc" xml:space="preserve"> _xlfn.LAMBDA(_xlpm.v,100*SUMPRODUCT(Model!$B$6:$B$28,COS(Model!$A$6:$A$28*ACOS(MAX(-1,MIN(1,2*(_xlpm.v-Model!$B$1)/(Model!$B$2-Model!$B$1)-1))))))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3" l="1" a="1"/>
  <c r="R3" i="3" s="1"/>
  <c r="R3" i="4" a="1"/>
  <c r="R3" i="4" s="1"/>
  <c r="AB25" i="4" a="1"/>
  <c r="AB25" i="4" s="1"/>
  <c r="X25" i="4" a="1"/>
  <c r="X25" i="4" s="1"/>
  <c r="T25" i="4" a="1"/>
  <c r="T25" i="4" s="1"/>
  <c r="P25" i="4" a="1"/>
  <c r="P25" i="4" s="1"/>
  <c r="L25" i="4" a="1"/>
  <c r="L25" i="4" s="1"/>
  <c r="H25" i="4" a="1"/>
  <c r="H25" i="4" s="1"/>
  <c r="D25" i="4" a="1"/>
  <c r="D25" i="4" s="1"/>
  <c r="AB24" i="4" a="1"/>
  <c r="AB24" i="4" s="1"/>
  <c r="X24" i="4" a="1"/>
  <c r="X24" i="4" s="1"/>
  <c r="T24" i="4" a="1"/>
  <c r="T24" i="4" s="1"/>
  <c r="P24" i="4" a="1"/>
  <c r="P24" i="4" s="1"/>
  <c r="L24" i="4" a="1"/>
  <c r="L24" i="4" s="1"/>
  <c r="H24" i="4" a="1"/>
  <c r="H24" i="4" s="1"/>
  <c r="D24" i="4" a="1"/>
  <c r="D24" i="4" s="1"/>
  <c r="AB23" i="4" a="1"/>
  <c r="AB23" i="4" s="1"/>
  <c r="X23" i="4" a="1"/>
  <c r="X23" i="4" s="1"/>
  <c r="T23" i="4" a="1"/>
  <c r="T23" i="4" s="1"/>
  <c r="P23" i="4" a="1"/>
  <c r="P23" i="4" s="1"/>
  <c r="L23" i="4" a="1"/>
  <c r="L23" i="4" s="1"/>
  <c r="H23" i="4" a="1"/>
  <c r="H23" i="4" s="1"/>
  <c r="D23" i="4" a="1"/>
  <c r="D23" i="4" s="1"/>
  <c r="AB22" i="4" a="1"/>
  <c r="AB22" i="4" s="1"/>
  <c r="X22" i="4" a="1"/>
  <c r="X22" i="4" s="1"/>
  <c r="T22" i="4" a="1"/>
  <c r="T22" i="4" s="1"/>
  <c r="P22" i="4" a="1"/>
  <c r="P22" i="4" s="1"/>
  <c r="L22" i="4" a="1"/>
  <c r="L22" i="4" s="1"/>
  <c r="H22" i="4" a="1"/>
  <c r="H22" i="4" s="1"/>
  <c r="D22" i="4" a="1"/>
  <c r="D22" i="4" s="1"/>
  <c r="AB21" i="4" a="1"/>
  <c r="AB21" i="4" s="1"/>
  <c r="X21" i="4" a="1"/>
  <c r="X21" i="4" s="1"/>
  <c r="T21" i="4" a="1"/>
  <c r="T21" i="4" s="1"/>
  <c r="P21" i="4"/>
  <c r="P21" i="4" a="1"/>
  <c r="L21" i="4" a="1"/>
  <c r="L21" i="4" s="1"/>
  <c r="H21" i="4" a="1"/>
  <c r="H21" i="4" s="1"/>
  <c r="D21" i="4" a="1"/>
  <c r="D21" i="4" s="1"/>
  <c r="AB20" i="4" a="1"/>
  <c r="AB20" i="4" s="1"/>
  <c r="X20" i="4" a="1"/>
  <c r="X20" i="4" s="1"/>
  <c r="T20" i="4" a="1"/>
  <c r="T20" i="4" s="1"/>
  <c r="P20" i="4" a="1"/>
  <c r="P20" i="4" s="1"/>
  <c r="L20" i="4" a="1"/>
  <c r="L20" i="4" s="1"/>
  <c r="H20" i="4" a="1"/>
  <c r="H20" i="4" s="1"/>
  <c r="D20" i="4" a="1"/>
  <c r="D20" i="4" s="1"/>
  <c r="AB19" i="4" a="1"/>
  <c r="AB19" i="4" s="1"/>
  <c r="X19" i="4" a="1"/>
  <c r="X19" i="4" s="1"/>
  <c r="T19" i="4" a="1"/>
  <c r="T19" i="4" s="1"/>
  <c r="P19" i="4" a="1"/>
  <c r="P19" i="4" s="1"/>
  <c r="L19" i="4" a="1"/>
  <c r="L19" i="4" s="1"/>
  <c r="H19" i="4" a="1"/>
  <c r="H19" i="4" s="1"/>
  <c r="D19" i="4" a="1"/>
  <c r="D19" i="4" s="1"/>
  <c r="AB18" i="4" a="1"/>
  <c r="AB18" i="4" s="1"/>
  <c r="X18" i="4" a="1"/>
  <c r="X18" i="4" s="1"/>
  <c r="T18" i="4" a="1"/>
  <c r="T18" i="4" s="1"/>
  <c r="P18" i="4" a="1"/>
  <c r="P18" i="4" s="1"/>
  <c r="L18" i="4" a="1"/>
  <c r="L18" i="4" s="1"/>
  <c r="H18" i="4" a="1"/>
  <c r="H18" i="4" s="1"/>
  <c r="D18" i="4" a="1"/>
  <c r="D18" i="4" s="1"/>
  <c r="AB17" i="4" a="1"/>
  <c r="AB17" i="4" s="1"/>
  <c r="X17" i="4" a="1"/>
  <c r="X17" i="4" s="1"/>
  <c r="T17" i="4" a="1"/>
  <c r="T17" i="4" s="1"/>
  <c r="P17" i="4" a="1"/>
  <c r="P17" i="4" s="1"/>
  <c r="L17" i="4" a="1"/>
  <c r="L17" i="4" s="1"/>
  <c r="H17" i="4" a="1"/>
  <c r="H17" i="4" s="1"/>
  <c r="D17" i="4" a="1"/>
  <c r="D17" i="4" s="1"/>
  <c r="AB16" i="4" a="1"/>
  <c r="AB16" i="4" s="1"/>
  <c r="X16" i="4" a="1"/>
  <c r="X16" i="4" s="1"/>
  <c r="T16" i="4" a="1"/>
  <c r="T16" i="4" s="1"/>
  <c r="P16" i="4" a="1"/>
  <c r="P16" i="4" s="1"/>
  <c r="L16" i="4" a="1"/>
  <c r="L16" i="4" s="1"/>
  <c r="H16" i="4" a="1"/>
  <c r="H16" i="4" s="1"/>
  <c r="D16" i="4" a="1"/>
  <c r="D16" i="4" s="1"/>
  <c r="AB15" i="4" a="1"/>
  <c r="AB15" i="4" s="1"/>
  <c r="X15" i="4" a="1"/>
  <c r="X15" i="4" s="1"/>
  <c r="T15" i="4" a="1"/>
  <c r="T15" i="4" s="1"/>
  <c r="P15" i="4" a="1"/>
  <c r="P15" i="4" s="1"/>
  <c r="L15" i="4" a="1"/>
  <c r="L15" i="4" s="1"/>
  <c r="H15" i="4" a="1"/>
  <c r="H15" i="4" s="1"/>
  <c r="D15" i="4" a="1"/>
  <c r="D15" i="4" s="1"/>
  <c r="AB14" i="4" a="1"/>
  <c r="AB14" i="4" s="1"/>
  <c r="X14" i="4" a="1"/>
  <c r="X14" i="4" s="1"/>
  <c r="T14" i="4" a="1"/>
  <c r="T14" i="4" s="1"/>
  <c r="P14" i="4" a="1"/>
  <c r="P14" i="4" s="1"/>
  <c r="L14" i="4" a="1"/>
  <c r="L14" i="4" s="1"/>
  <c r="H14" i="4" a="1"/>
  <c r="H14" i="4" s="1"/>
  <c r="D14" i="4" a="1"/>
  <c r="D14" i="4" s="1"/>
  <c r="AB13" i="4" a="1"/>
  <c r="AB13" i="4" s="1"/>
  <c r="X13" i="4" a="1"/>
  <c r="X13" i="4" s="1"/>
  <c r="T13" i="4" a="1"/>
  <c r="T13" i="4" s="1"/>
  <c r="P13" i="4" a="1"/>
  <c r="P13" i="4" s="1"/>
  <c r="L13" i="4" a="1"/>
  <c r="L13" i="4" s="1"/>
  <c r="H13" i="4" a="1"/>
  <c r="H13" i="4" s="1"/>
  <c r="D13" i="4" a="1"/>
  <c r="D13" i="4" s="1"/>
  <c r="AB12" i="4" a="1"/>
  <c r="AB12" i="4" s="1"/>
  <c r="X12" i="4" a="1"/>
  <c r="X12" i="4" s="1"/>
  <c r="T12" i="4" a="1"/>
  <c r="T12" i="4" s="1"/>
  <c r="P12" i="4" a="1"/>
  <c r="P12" i="4" s="1"/>
  <c r="L12" i="4" a="1"/>
  <c r="L12" i="4" s="1"/>
  <c r="H12" i="4" a="1"/>
  <c r="H12" i="4" s="1"/>
  <c r="D12" i="4" a="1"/>
  <c r="D12" i="4" s="1"/>
  <c r="AB11" i="4" a="1"/>
  <c r="AB11" i="4" s="1"/>
  <c r="Z11" i="4"/>
  <c r="Z12" i="4" s="1"/>
  <c r="Z13" i="4" s="1"/>
  <c r="Z14" i="4" s="1"/>
  <c r="Z15" i="4" s="1"/>
  <c r="Z16" i="4" s="1"/>
  <c r="Z17" i="4" s="1"/>
  <c r="Z18" i="4" s="1"/>
  <c r="Z19" i="4" s="1"/>
  <c r="Z20" i="4" s="1"/>
  <c r="Z21" i="4" s="1"/>
  <c r="Z22" i="4" s="1"/>
  <c r="Z23" i="4" s="1"/>
  <c r="Z24" i="4" s="1"/>
  <c r="Z25" i="4" s="1"/>
  <c r="X11" i="4" a="1"/>
  <c r="X11" i="4" s="1"/>
  <c r="T11" i="4" a="1"/>
  <c r="T11" i="4" s="1"/>
  <c r="P11" i="4" a="1"/>
  <c r="P11" i="4" s="1"/>
  <c r="L11" i="4" a="1"/>
  <c r="L11" i="4" s="1"/>
  <c r="H11" i="4" a="1"/>
  <c r="H11" i="4" s="1"/>
  <c r="F11" i="4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D11" i="4" a="1"/>
  <c r="D11" i="4" s="1"/>
  <c r="B11" i="4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AB10" i="4" a="1"/>
  <c r="AB10" i="4" s="1"/>
  <c r="Z10" i="4"/>
  <c r="X10" i="4" a="1"/>
  <c r="X10" i="4" s="1"/>
  <c r="V10" i="4"/>
  <c r="V11" i="4" s="1"/>
  <c r="V12" i="4" s="1"/>
  <c r="V13" i="4" s="1"/>
  <c r="V14" i="4" s="1"/>
  <c r="V15" i="4" s="1"/>
  <c r="V16" i="4" s="1"/>
  <c r="V17" i="4" s="1"/>
  <c r="V18" i="4" s="1"/>
  <c r="V19" i="4" s="1"/>
  <c r="V20" i="4" s="1"/>
  <c r="V21" i="4" s="1"/>
  <c r="V22" i="4" s="1"/>
  <c r="V23" i="4" s="1"/>
  <c r="V24" i="4" s="1"/>
  <c r="V25" i="4" s="1"/>
  <c r="T10" i="4" a="1"/>
  <c r="T10" i="4" s="1"/>
  <c r="R10" i="4"/>
  <c r="R11" i="4" s="1"/>
  <c r="R12" i="4" s="1"/>
  <c r="R13" i="4" s="1"/>
  <c r="R14" i="4" s="1"/>
  <c r="R15" i="4" s="1"/>
  <c r="R16" i="4" s="1"/>
  <c r="R17" i="4" s="1"/>
  <c r="R18" i="4" s="1"/>
  <c r="R19" i="4" s="1"/>
  <c r="R20" i="4" s="1"/>
  <c r="R21" i="4" s="1"/>
  <c r="R22" i="4" s="1"/>
  <c r="R23" i="4" s="1"/>
  <c r="R24" i="4" s="1"/>
  <c r="R25" i="4" s="1"/>
  <c r="P10" i="4" a="1"/>
  <c r="P10" i="4" s="1"/>
  <c r="N10" i="4"/>
  <c r="N11" i="4" s="1"/>
  <c r="N12" i="4" s="1"/>
  <c r="N13" i="4" s="1"/>
  <c r="N14" i="4" s="1"/>
  <c r="N15" i="4" s="1"/>
  <c r="N16" i="4" s="1"/>
  <c r="N17" i="4" s="1"/>
  <c r="N18" i="4" s="1"/>
  <c r="N19" i="4" s="1"/>
  <c r="N20" i="4" s="1"/>
  <c r="N21" i="4" s="1"/>
  <c r="N22" i="4" s="1"/>
  <c r="N23" i="4" s="1"/>
  <c r="N24" i="4" s="1"/>
  <c r="N25" i="4" s="1"/>
  <c r="L10" i="4" a="1"/>
  <c r="L10" i="4" s="1"/>
  <c r="J10" i="4"/>
  <c r="J11" i="4" s="1"/>
  <c r="J12" i="4" s="1"/>
  <c r="J13" i="4" s="1"/>
  <c r="J14" i="4" s="1"/>
  <c r="J15" i="4" s="1"/>
  <c r="J16" i="4" s="1"/>
  <c r="J17" i="4" s="1"/>
  <c r="J18" i="4" s="1"/>
  <c r="J19" i="4" s="1"/>
  <c r="J20" i="4" s="1"/>
  <c r="J21" i="4" s="1"/>
  <c r="J22" i="4" s="1"/>
  <c r="J23" i="4" s="1"/>
  <c r="J24" i="4" s="1"/>
  <c r="J25" i="4" s="1"/>
  <c r="H10" i="4" a="1"/>
  <c r="H10" i="4" s="1"/>
  <c r="F10" i="4"/>
  <c r="D10" i="4" a="1"/>
  <c r="D10" i="4" s="1"/>
  <c r="B10" i="4"/>
  <c r="R4" i="4" a="1"/>
  <c r="R4" i="4" s="1"/>
  <c r="R4" i="3" a="1"/>
  <c r="R4" i="3" s="1"/>
  <c r="AB25" i="3" a="1"/>
  <c r="AB25" i="3" s="1"/>
  <c r="AB24" i="3" a="1"/>
  <c r="AB24" i="3" s="1"/>
  <c r="AB23" i="3" a="1"/>
  <c r="AB23" i="3" s="1"/>
  <c r="AB22" i="3" a="1"/>
  <c r="AB22" i="3" s="1"/>
  <c r="AB21" i="3" a="1"/>
  <c r="AB21" i="3" s="1"/>
  <c r="AB20" i="3" a="1"/>
  <c r="AB20" i="3" s="1"/>
  <c r="AB19" i="3" a="1"/>
  <c r="AB19" i="3" s="1"/>
  <c r="AB18" i="3" a="1"/>
  <c r="AB18" i="3" s="1"/>
  <c r="AB17" i="3" a="1"/>
  <c r="AB17" i="3" s="1"/>
  <c r="AB16" i="3" a="1"/>
  <c r="AB16" i="3" s="1"/>
  <c r="AB15" i="3" a="1"/>
  <c r="AB15" i="3" s="1"/>
  <c r="AB14" i="3" a="1"/>
  <c r="AB14" i="3" s="1"/>
  <c r="AB13" i="3" a="1"/>
  <c r="AB13" i="3" s="1"/>
  <c r="AB12" i="3" a="1"/>
  <c r="AB12" i="3" s="1"/>
  <c r="AB11" i="3" a="1"/>
  <c r="AB11" i="3" s="1"/>
  <c r="AB10" i="3" a="1"/>
  <c r="AB10" i="3" s="1"/>
  <c r="X25" i="3" a="1"/>
  <c r="X25" i="3" s="1"/>
  <c r="X24" i="3" a="1"/>
  <c r="X24" i="3" s="1"/>
  <c r="X23" i="3" a="1"/>
  <c r="X23" i="3" s="1"/>
  <c r="X22" i="3" a="1"/>
  <c r="X22" i="3" s="1"/>
  <c r="X21" i="3" a="1"/>
  <c r="X21" i="3" s="1"/>
  <c r="X20" i="3" a="1"/>
  <c r="X20" i="3" s="1"/>
  <c r="X19" i="3" a="1"/>
  <c r="X19" i="3" s="1"/>
  <c r="X18" i="3" a="1"/>
  <c r="X18" i="3" s="1"/>
  <c r="X17" i="3" a="1"/>
  <c r="X17" i="3" s="1"/>
  <c r="X16" i="3" a="1"/>
  <c r="X16" i="3" s="1"/>
  <c r="X15" i="3" a="1"/>
  <c r="X15" i="3" s="1"/>
  <c r="X14" i="3" a="1"/>
  <c r="X14" i="3" s="1"/>
  <c r="X13" i="3" a="1"/>
  <c r="X13" i="3" s="1"/>
  <c r="X12" i="3" a="1"/>
  <c r="X12" i="3" s="1"/>
  <c r="X11" i="3" a="1"/>
  <c r="X11" i="3" s="1"/>
  <c r="X10" i="3" a="1"/>
  <c r="X10" i="3" s="1"/>
  <c r="T25" i="3" a="1"/>
  <c r="T25" i="3" s="1"/>
  <c r="T24" i="3" a="1"/>
  <c r="T24" i="3" s="1"/>
  <c r="T23" i="3" a="1"/>
  <c r="T23" i="3" s="1"/>
  <c r="T22" i="3" a="1"/>
  <c r="T22" i="3" s="1"/>
  <c r="T21" i="3" a="1"/>
  <c r="T21" i="3" s="1"/>
  <c r="T20" i="3" a="1"/>
  <c r="T20" i="3" s="1"/>
  <c r="T19" i="3" a="1"/>
  <c r="T19" i="3" s="1"/>
  <c r="T18" i="3" a="1"/>
  <c r="T18" i="3" s="1"/>
  <c r="T17" i="3" a="1"/>
  <c r="T17" i="3" s="1"/>
  <c r="T16" i="3" a="1"/>
  <c r="T16" i="3" s="1"/>
  <c r="T15" i="3" a="1"/>
  <c r="T15" i="3" s="1"/>
  <c r="T14" i="3" a="1"/>
  <c r="T14" i="3" s="1"/>
  <c r="T13" i="3" a="1"/>
  <c r="T13" i="3" s="1"/>
  <c r="T12" i="3" a="1"/>
  <c r="T12" i="3" s="1"/>
  <c r="T11" i="3" a="1"/>
  <c r="T11" i="3" s="1"/>
  <c r="T10" i="3" a="1"/>
  <c r="T10" i="3" s="1"/>
  <c r="P25" i="3" a="1"/>
  <c r="P25" i="3" s="1"/>
  <c r="P24" i="3" a="1"/>
  <c r="P24" i="3" s="1"/>
  <c r="P23" i="3" a="1"/>
  <c r="P23" i="3" s="1"/>
  <c r="P22" i="3" a="1"/>
  <c r="P22" i="3" s="1"/>
  <c r="P21" i="3" a="1"/>
  <c r="P21" i="3" s="1"/>
  <c r="P20" i="3" a="1"/>
  <c r="P20" i="3" s="1"/>
  <c r="P19" i="3" a="1"/>
  <c r="P19" i="3" s="1"/>
  <c r="P18" i="3" a="1"/>
  <c r="P18" i="3" s="1"/>
  <c r="P17" i="3" a="1"/>
  <c r="P17" i="3" s="1"/>
  <c r="P16" i="3" a="1"/>
  <c r="P16" i="3" s="1"/>
  <c r="P15" i="3" a="1"/>
  <c r="P15" i="3" s="1"/>
  <c r="P14" i="3" a="1"/>
  <c r="P14" i="3" s="1"/>
  <c r="P13" i="3" a="1"/>
  <c r="P13" i="3" s="1"/>
  <c r="P12" i="3" a="1"/>
  <c r="P12" i="3" s="1"/>
  <c r="P11" i="3" a="1"/>
  <c r="P11" i="3" s="1"/>
  <c r="P10" i="3" a="1"/>
  <c r="P10" i="3" s="1"/>
  <c r="L25" i="3" a="1"/>
  <c r="L25" i="3" s="1"/>
  <c r="L24" i="3" a="1"/>
  <c r="L24" i="3" s="1"/>
  <c r="L23" i="3" a="1"/>
  <c r="L23" i="3" s="1"/>
  <c r="L22" i="3" a="1"/>
  <c r="L22" i="3" s="1"/>
  <c r="L21" i="3" a="1"/>
  <c r="L21" i="3" s="1"/>
  <c r="L20" i="3" a="1"/>
  <c r="L20" i="3" s="1"/>
  <c r="L19" i="3" a="1"/>
  <c r="L19" i="3" s="1"/>
  <c r="L18" i="3" a="1"/>
  <c r="L18" i="3" s="1"/>
  <c r="L17" i="3" a="1"/>
  <c r="L17" i="3" s="1"/>
  <c r="L16" i="3" a="1"/>
  <c r="L16" i="3" s="1"/>
  <c r="L15" i="3" a="1"/>
  <c r="L15" i="3" s="1"/>
  <c r="L14" i="3" a="1"/>
  <c r="L14" i="3" s="1"/>
  <c r="L13" i="3" a="1"/>
  <c r="L13" i="3" s="1"/>
  <c r="L12" i="3" a="1"/>
  <c r="L12" i="3" s="1"/>
  <c r="L11" i="3" a="1"/>
  <c r="L11" i="3" s="1"/>
  <c r="L10" i="3" a="1"/>
  <c r="L10" i="3" s="1"/>
  <c r="H25" i="3" a="1"/>
  <c r="H25" i="3" s="1"/>
  <c r="H24" i="3" a="1"/>
  <c r="H24" i="3" s="1"/>
  <c r="H23" i="3" a="1"/>
  <c r="H23" i="3" s="1"/>
  <c r="H22" i="3" a="1"/>
  <c r="H22" i="3" s="1"/>
  <c r="H21" i="3" a="1"/>
  <c r="H21" i="3" s="1"/>
  <c r="H20" i="3" a="1"/>
  <c r="H20" i="3" s="1"/>
  <c r="H19" i="3" a="1"/>
  <c r="H19" i="3" s="1"/>
  <c r="H18" i="3" a="1"/>
  <c r="H18" i="3" s="1"/>
  <c r="H17" i="3" a="1"/>
  <c r="H17" i="3" s="1"/>
  <c r="H16" i="3" a="1"/>
  <c r="H16" i="3" s="1"/>
  <c r="H15" i="3" a="1"/>
  <c r="H15" i="3" s="1"/>
  <c r="H14" i="3" a="1"/>
  <c r="H14" i="3" s="1"/>
  <c r="H13" i="3" a="1"/>
  <c r="H13" i="3" s="1"/>
  <c r="H12" i="3" a="1"/>
  <c r="H12" i="3" s="1"/>
  <c r="H11" i="3" a="1"/>
  <c r="H11" i="3" s="1"/>
  <c r="H10" i="3" a="1"/>
  <c r="H10" i="3" s="1"/>
  <c r="D25" i="3" a="1"/>
  <c r="D25" i="3" s="1"/>
  <c r="D24" i="3" a="1"/>
  <c r="D24" i="3" s="1"/>
  <c r="D23" i="3" a="1"/>
  <c r="D23" i="3" s="1"/>
  <c r="D22" i="3" a="1"/>
  <c r="D22" i="3" s="1"/>
  <c r="D21" i="3" a="1"/>
  <c r="D21" i="3" s="1"/>
  <c r="D20" i="3" a="1"/>
  <c r="D20" i="3" s="1"/>
  <c r="D19" i="3" a="1"/>
  <c r="D19" i="3" s="1"/>
  <c r="D18" i="3" a="1"/>
  <c r="D18" i="3" s="1"/>
  <c r="D17" i="3" a="1"/>
  <c r="D17" i="3" s="1"/>
  <c r="D16" i="3" a="1"/>
  <c r="D16" i="3" s="1"/>
  <c r="D15" i="3" a="1"/>
  <c r="D15" i="3" s="1"/>
  <c r="D14" i="3" a="1"/>
  <c r="D14" i="3" s="1"/>
  <c r="D13" i="3" a="1"/>
  <c r="D13" i="3" s="1"/>
  <c r="D12" i="3" a="1"/>
  <c r="D12" i="3" s="1"/>
  <c r="D11" i="3" a="1"/>
  <c r="D11" i="3" s="1"/>
  <c r="D10" i="3" a="1"/>
  <c r="D10" i="3" s="1"/>
  <c r="Z11" i="3"/>
  <c r="Z12" i="3" s="1"/>
  <c r="Z13" i="3" s="1"/>
  <c r="Z14" i="3" s="1"/>
  <c r="Z15" i="3" s="1"/>
  <c r="Z16" i="3" s="1"/>
  <c r="Z17" i="3" s="1"/>
  <c r="Z18" i="3" s="1"/>
  <c r="Z19" i="3" s="1"/>
  <c r="Z20" i="3" s="1"/>
  <c r="Z21" i="3" s="1"/>
  <c r="Z22" i="3" s="1"/>
  <c r="Z23" i="3" s="1"/>
  <c r="Z24" i="3" s="1"/>
  <c r="Z25" i="3" s="1"/>
  <c r="V11" i="3"/>
  <c r="V12" i="3" s="1"/>
  <c r="V13" i="3" s="1"/>
  <c r="V14" i="3" s="1"/>
  <c r="V15" i="3" s="1"/>
  <c r="V16" i="3" s="1"/>
  <c r="V17" i="3" s="1"/>
  <c r="V18" i="3" s="1"/>
  <c r="V19" i="3" s="1"/>
  <c r="V20" i="3" s="1"/>
  <c r="V21" i="3" s="1"/>
  <c r="V22" i="3" s="1"/>
  <c r="V23" i="3" s="1"/>
  <c r="V24" i="3" s="1"/>
  <c r="V25" i="3" s="1"/>
  <c r="R11" i="3"/>
  <c r="R12" i="3" s="1"/>
  <c r="R13" i="3" s="1"/>
  <c r="R14" i="3" s="1"/>
  <c r="R15" i="3" s="1"/>
  <c r="R16" i="3" s="1"/>
  <c r="R17" i="3" s="1"/>
  <c r="R18" i="3" s="1"/>
  <c r="R19" i="3" s="1"/>
  <c r="R20" i="3" s="1"/>
  <c r="R21" i="3" s="1"/>
  <c r="R22" i="3" s="1"/>
  <c r="R23" i="3" s="1"/>
  <c r="R24" i="3" s="1"/>
  <c r="R25" i="3" s="1"/>
  <c r="N11" i="3"/>
  <c r="N12" i="3" s="1"/>
  <c r="N13" i="3" s="1"/>
  <c r="N14" i="3" s="1"/>
  <c r="N15" i="3" s="1"/>
  <c r="N16" i="3" s="1"/>
  <c r="N17" i="3" s="1"/>
  <c r="N18" i="3" s="1"/>
  <c r="N19" i="3" s="1"/>
  <c r="N20" i="3" s="1"/>
  <c r="N21" i="3" s="1"/>
  <c r="N22" i="3" s="1"/>
  <c r="N23" i="3" s="1"/>
  <c r="N24" i="3" s="1"/>
  <c r="N25" i="3" s="1"/>
  <c r="J11" i="3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F11" i="3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B12" i="3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11" i="3"/>
  <c r="B10" i="3"/>
  <c r="F10" i="3"/>
  <c r="J10" i="3"/>
  <c r="N10" i="3"/>
  <c r="R10" i="3"/>
  <c r="V10" i="3"/>
  <c r="Z10" i="3"/>
  <c r="X27" i="4" l="1"/>
  <c r="X28" i="4"/>
  <c r="X29" i="4" s="1"/>
  <c r="AB28" i="4"/>
  <c r="AB27" i="4"/>
  <c r="T27" i="4"/>
  <c r="T28" i="4"/>
  <c r="Z4" i="4" a="1"/>
  <c r="Z4" i="4" s="1"/>
  <c r="D28" i="4"/>
  <c r="Z5" i="4"/>
  <c r="Z3" i="4" a="1"/>
  <c r="Z3" i="4" s="1"/>
  <c r="D27" i="4"/>
  <c r="H28" i="4"/>
  <c r="H29" i="4" s="1"/>
  <c r="P27" i="4"/>
  <c r="P28" i="4"/>
  <c r="L28" i="4"/>
  <c r="L27" i="4"/>
  <c r="H27" i="4"/>
  <c r="Z4" i="3" a="1"/>
  <c r="Z4" i="3" s="1"/>
  <c r="Z5" i="3"/>
  <c r="Z3" i="3" a="1"/>
  <c r="Z3" i="3" s="1"/>
  <c r="P27" i="3"/>
  <c r="P28" i="3"/>
  <c r="T28" i="3"/>
  <c r="T27" i="3"/>
  <c r="X27" i="3"/>
  <c r="X28" i="3"/>
  <c r="X29" i="3" s="1"/>
  <c r="H27" i="3"/>
  <c r="H28" i="3"/>
  <c r="H29" i="3" s="1"/>
  <c r="D27" i="3"/>
  <c r="D28" i="3"/>
  <c r="L27" i="3"/>
  <c r="L28" i="3"/>
  <c r="L29" i="3" s="1"/>
  <c r="AB28" i="3"/>
  <c r="AB27" i="3"/>
  <c r="AB29" i="4" l="1"/>
  <c r="T29" i="4"/>
  <c r="P29" i="4"/>
  <c r="D29" i="4"/>
  <c r="L29" i="4"/>
  <c r="P29" i="3"/>
  <c r="D29" i="3"/>
  <c r="AB29" i="3"/>
  <c r="T29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<sst xmlns="http://schemas.openxmlformats.org/spreadsheetml/2006/main" count="127" uniqueCount="31">
  <si>
    <t>Date:</t>
  </si>
  <si>
    <t>Stats:</t>
  </si>
  <si>
    <t>Author(s):</t>
  </si>
  <si>
    <t>Pack Voltage</t>
  </si>
  <si>
    <t>Lowest SoC Module</t>
  </si>
  <si>
    <t>Pack SoC</t>
  </si>
  <si>
    <t>Highest SoC Module</t>
  </si>
  <si>
    <t>Modules are located by Segment.Module counting up from the most negative to the most positive segment, and module within that segment.</t>
  </si>
  <si>
    <t>Pack SoC Range</t>
  </si>
  <si>
    <t>Segment 1</t>
  </si>
  <si>
    <t>Segment 2</t>
  </si>
  <si>
    <t>Segment 3</t>
  </si>
  <si>
    <t>Segment 4</t>
  </si>
  <si>
    <t>Segment 5</t>
  </si>
  <si>
    <t>Segment 6</t>
  </si>
  <si>
    <t>Segment 7</t>
  </si>
  <si>
    <t>#</t>
  </si>
  <si>
    <t>Voltage</t>
  </si>
  <si>
    <t>SoC %</t>
  </si>
  <si>
    <t>Minimum SoC</t>
  </si>
  <si>
    <t>Maximum SoC</t>
  </si>
  <si>
    <t>SoC Range</t>
  </si>
  <si>
    <t>Notes:</t>
  </si>
  <si>
    <t>SG &amp; SJ</t>
  </si>
  <si>
    <t>1 of the 2 bottom feet have come off modules 4.05, 4.12 and 4.13, temporarily isolated with yellow electrical tape, feet have been placed in the battery cabinet, suggest using insulative epoxy/glue to reattach as the feet cover the positive-negative bridge of the bottom-most cells in the modules.</t>
  </si>
  <si>
    <t>Vmin (V)</t>
  </si>
  <si>
    <t>Vmax (V)</t>
  </si>
  <si>
    <t>Chebyshev coefficients — do not edit. Evaluated as T_k(t)=COS(k*ACOS(t)).</t>
  </si>
  <si>
    <t>k</t>
  </si>
  <si>
    <t>D_k  (V → SoC)</t>
  </si>
  <si>
    <t>E_k  (SoC → 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</si>
</sst>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"/>
    <numFmt numFmtId="165" formatCode="0.000000000"/>
    <numFmt numFmtId="166" formatCode="0.0%"/>
    <numFmt numFmtId="167" formatCode="0.00\V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sz val="9"/>
      <color rgb="FF777777"/>
      <name val="Arial"/>
      <charset val="1"/>
    </font>
    <font>
      <b/>
      <sz val="10"/>
      <color rgb="FFFFFFFF"/>
      <name val="Arial"/>
      <charset val="1"/>
    </font>
    <font>
      <b/>
      <sz val="11"/>
      <color theme="2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B2733"/>
        <bgColor rgb="FF003366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76">
    <xf numFmtId="0" fontId="0" fillId="0" borderId="0" xfId="0"/>
    <xf numFmtId="0" fontId="2" fillId="0" borderId="0" xfId="1"/>
    <xf numFmtId="0" fontId="3" fillId="0" borderId="0" xfId="1" applyFont="1"/>
    <xf numFmtId="164" fontId="4" fillId="0" borderId="0" xfId="1" applyNumberFormat="1" applyFont="1"/>
    <xf numFmtId="0" fontId="5" fillId="0" borderId="0" xfId="1" applyFont="1"/>
    <xf numFmtId="0" fontId="6" fillId="2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165" fontId="4" fillId="0" borderId="0" xfId="1" applyNumberFormat="1" applyFont="1"/>
    <xf numFmtId="0" fontId="7" fillId="0" borderId="0" xfId="0" applyFont="1" applyAlignment="1">
      <alignment wrapText="1"/>
    </xf>
    <xf numFmtId="0" fontId="1" fillId="5" borderId="15" xfId="0" applyFont="1" applyFill="1" applyBorder="1"/>
    <xf numFmtId="0" fontId="1" fillId="4" borderId="15" xfId="0" applyFont="1" applyFill="1" applyBorder="1"/>
    <xf numFmtId="0" fontId="1" fillId="4" borderId="16" xfId="0" applyFont="1" applyFill="1" applyBorder="1"/>
    <xf numFmtId="166" fontId="1" fillId="5" borderId="11" xfId="0" applyNumberFormat="1" applyFont="1" applyFill="1" applyBorder="1"/>
    <xf numFmtId="166" fontId="1" fillId="4" borderId="11" xfId="0" applyNumberFormat="1" applyFont="1" applyFill="1" applyBorder="1"/>
    <xf numFmtId="166" fontId="1" fillId="4" borderId="6" xfId="0" applyNumberFormat="1" applyFont="1" applyFill="1" applyBorder="1"/>
    <xf numFmtId="0" fontId="1" fillId="4" borderId="14" xfId="0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166" fontId="1" fillId="5" borderId="3" xfId="0" applyNumberFormat="1" applyFont="1" applyFill="1" applyBorder="1"/>
    <xf numFmtId="166" fontId="1" fillId="5" borderId="6" xfId="0" applyNumberFormat="1" applyFont="1" applyFill="1" applyBorder="1"/>
    <xf numFmtId="0" fontId="0" fillId="5" borderId="0" xfId="0" applyFill="1"/>
    <xf numFmtId="0" fontId="0" fillId="4" borderId="0" xfId="0" applyFill="1"/>
    <xf numFmtId="0" fontId="0" fillId="5" borderId="5" xfId="0" applyFill="1" applyBorder="1"/>
    <xf numFmtId="0" fontId="0" fillId="5" borderId="11" xfId="0" applyFill="1" applyBorder="1"/>
    <xf numFmtId="0" fontId="0" fillId="4" borderId="11" xfId="0" applyFill="1" applyBorder="1"/>
    <xf numFmtId="0" fontId="0" fillId="5" borderId="6" xfId="0" applyFill="1" applyBorder="1"/>
    <xf numFmtId="0" fontId="0" fillId="4" borderId="8" xfId="0" applyFill="1" applyBorder="1"/>
    <xf numFmtId="0" fontId="0" fillId="4" borderId="9" xfId="0" applyFill="1" applyBorder="1"/>
    <xf numFmtId="167" fontId="0" fillId="6" borderId="18" xfId="0" applyNumberFormat="1" applyFill="1" applyBorder="1"/>
    <xf numFmtId="167" fontId="0" fillId="3" borderId="18" xfId="0" applyNumberFormat="1" applyFill="1" applyBorder="1"/>
    <xf numFmtId="167" fontId="0" fillId="3" borderId="19" xfId="0" applyNumberFormat="1" applyFill="1" applyBorder="1"/>
    <xf numFmtId="0" fontId="0" fillId="5" borderId="4" xfId="0" applyFill="1" applyBorder="1" applyAlignment="1">
      <alignment horizontal="left"/>
    </xf>
    <xf numFmtId="0" fontId="0" fillId="5" borderId="5" xfId="0" applyFill="1" applyBorder="1" applyAlignment="1">
      <alignment horizontal="left"/>
    </xf>
    <xf numFmtId="0" fontId="1" fillId="5" borderId="0" xfId="0" applyFont="1" applyFill="1" applyAlignment="1">
      <alignment horizontal="left"/>
    </xf>
    <xf numFmtId="0" fontId="1" fillId="4" borderId="0" xfId="0" applyFont="1" applyFill="1" applyAlignment="1">
      <alignment horizontal="left"/>
    </xf>
    <xf numFmtId="0" fontId="1" fillId="5" borderId="5" xfId="0" applyFont="1" applyFill="1" applyBorder="1" applyAlignment="1">
      <alignment horizontal="left"/>
    </xf>
    <xf numFmtId="0" fontId="1" fillId="4" borderId="20" xfId="0" applyFont="1" applyFill="1" applyBorder="1" applyAlignment="1">
      <alignment horizontal="left"/>
    </xf>
    <xf numFmtId="0" fontId="1" fillId="4" borderId="21" xfId="0" applyFont="1" applyFill="1" applyBorder="1" applyAlignment="1">
      <alignment horizontal="left"/>
    </xf>
    <xf numFmtId="0" fontId="1" fillId="4" borderId="22" xfId="0" applyFont="1" applyFill="1" applyBorder="1" applyAlignment="1">
      <alignment horizontal="left"/>
    </xf>
    <xf numFmtId="166" fontId="0" fillId="5" borderId="0" xfId="0" applyNumberFormat="1" applyFill="1" applyAlignment="1">
      <alignment horizontal="center"/>
    </xf>
    <xf numFmtId="166" fontId="0" fillId="4" borderId="0" xfId="0" applyNumberFormat="1" applyFill="1" applyAlignment="1">
      <alignment horizontal="center"/>
    </xf>
    <xf numFmtId="166" fontId="0" fillId="5" borderId="5" xfId="0" applyNumberFormat="1" applyFill="1" applyBorder="1" applyAlignment="1">
      <alignment horizontal="center"/>
    </xf>
    <xf numFmtId="167" fontId="0" fillId="5" borderId="0" xfId="0" applyNumberFormat="1" applyFill="1" applyAlignment="1">
      <alignment horizontal="center"/>
    </xf>
    <xf numFmtId="10" fontId="0" fillId="4" borderId="0" xfId="0" applyNumberFormat="1" applyFill="1" applyAlignment="1">
      <alignment horizontal="center"/>
    </xf>
    <xf numFmtId="0" fontId="0" fillId="5" borderId="5" xfId="0" applyFill="1" applyBorder="1" applyAlignment="1">
      <alignment horizontal="center"/>
    </xf>
    <xf numFmtId="0" fontId="1" fillId="5" borderId="10" xfId="0" applyFont="1" applyFill="1" applyBorder="1" applyAlignment="1">
      <alignment horizontal="left"/>
    </xf>
    <xf numFmtId="0" fontId="1" fillId="4" borderId="10" xfId="0" applyFont="1" applyFill="1" applyBorder="1" applyAlignment="1">
      <alignment horizontal="left"/>
    </xf>
    <xf numFmtId="0" fontId="0" fillId="7" borderId="20" xfId="0" applyFill="1" applyBorder="1" applyAlignment="1">
      <alignment horizontal="center"/>
    </xf>
    <xf numFmtId="0" fontId="0" fillId="7" borderId="21" xfId="0" applyFill="1" applyBorder="1" applyAlignment="1">
      <alignment horizontal="center"/>
    </xf>
    <xf numFmtId="0" fontId="0" fillId="7" borderId="22" xfId="0" applyFill="1" applyBorder="1" applyAlignment="1">
      <alignment horizontal="center"/>
    </xf>
    <xf numFmtId="0" fontId="1" fillId="5" borderId="1" xfId="0" applyFont="1" applyFill="1" applyBorder="1" applyAlignment="1">
      <alignment horizontal="left"/>
    </xf>
    <xf numFmtId="0" fontId="1" fillId="5" borderId="2" xfId="0" applyFont="1" applyFill="1" applyBorder="1" applyAlignment="1">
      <alignment horizontal="left"/>
    </xf>
    <xf numFmtId="0" fontId="1" fillId="5" borderId="4" xfId="0" applyFont="1" applyFill="1" applyBorder="1" applyAlignment="1">
      <alignment horizontal="left"/>
    </xf>
    <xf numFmtId="0" fontId="1" fillId="4" borderId="7" xfId="0" applyFont="1" applyFill="1" applyBorder="1" applyAlignment="1">
      <alignment horizontal="left"/>
    </xf>
    <xf numFmtId="0" fontId="1" fillId="4" borderId="8" xfId="0" applyFont="1" applyFill="1" applyBorder="1" applyAlignment="1">
      <alignment horizontal="left"/>
    </xf>
    <xf numFmtId="0" fontId="0" fillId="6" borderId="10" xfId="0" applyFill="1" applyBorder="1" applyAlignment="1">
      <alignment horizontal="left" vertical="top" wrapText="1"/>
    </xf>
    <xf numFmtId="0" fontId="0" fillId="6" borderId="0" xfId="0" applyFill="1" applyAlignment="1">
      <alignment horizontal="left" vertical="top" wrapText="1"/>
    </xf>
    <xf numFmtId="0" fontId="0" fillId="6" borderId="11" xfId="0" applyFill="1" applyBorder="1" applyAlignment="1">
      <alignment horizontal="left" vertical="top" wrapText="1"/>
    </xf>
    <xf numFmtId="0" fontId="0" fillId="6" borderId="4" xfId="0" applyFill="1" applyBorder="1" applyAlignment="1">
      <alignment horizontal="left" vertical="top" wrapText="1"/>
    </xf>
    <xf numFmtId="0" fontId="0" fillId="6" borderId="5" xfId="0" applyFill="1" applyBorder="1" applyAlignment="1">
      <alignment horizontal="left" vertical="top" wrapText="1"/>
    </xf>
    <xf numFmtId="0" fontId="0" fillId="6" borderId="6" xfId="0" applyFill="1" applyBorder="1" applyAlignment="1">
      <alignment horizontal="left" vertical="top" wrapText="1"/>
    </xf>
    <xf numFmtId="0" fontId="0" fillId="3" borderId="12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7" fillId="0" borderId="0" xfId="0" applyFont="1" applyAlignment="1">
      <alignment horizontal="center" wrapText="1"/>
    </xf>
    <xf numFmtId="0" fontId="1" fillId="4" borderId="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14" fontId="0" fillId="3" borderId="12" xfId="0" applyNumberFormat="1" applyFill="1" applyBorder="1" applyAlignment="1">
      <alignment horizontal="center"/>
    </xf>
  </cellXfs>
  <cellStyles count="2">
    <cellStyle name="Normal" xfId="0" builtinId="0"/>
    <cellStyle name="Normal 2" xfId="1" xr:uid="{61213192-515D-4AFB-8560-FBB81FDD2A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62A2A-7D11-4D6F-AC29-4836BD9517D3}">
  <dimension ref="B1:AB38"/>
  <sheetViews>
    <sheetView zoomScaleNormal="100" workbookViewId="0">
      <selection activeCell="AD3" sqref="AD3"/>
    </sheetView>
  </sheetViews>
  <sheetFormatPr defaultRowHeight="14.65"/>
  <cols>
    <col min="1" max="1" width="3.42578125" customWidth="1"/>
    <col min="2" max="2" width="4.7109375" customWidth="1"/>
    <col min="3" max="4" width="8.28515625" customWidth="1"/>
    <col min="5" max="5" width="3.42578125" customWidth="1"/>
    <col min="6" max="6" width="4.7109375" customWidth="1"/>
    <col min="7" max="8" width="8.28515625" customWidth="1"/>
    <col min="9" max="9" width="3.42578125" customWidth="1"/>
    <col min="10" max="10" width="4.7109375" customWidth="1"/>
    <col min="11" max="12" width="8.28515625" customWidth="1"/>
    <col min="13" max="13" width="3.42578125" customWidth="1"/>
    <col min="14" max="14" width="4.7109375" customWidth="1"/>
    <col min="15" max="16" width="8.28515625" customWidth="1"/>
    <col min="17" max="17" width="3.42578125" customWidth="1"/>
    <col min="18" max="18" width="4.7109375" customWidth="1"/>
    <col min="19" max="20" width="8.28515625" customWidth="1"/>
    <col min="21" max="21" width="3.42578125" customWidth="1"/>
    <col min="22" max="22" width="4.7109375" customWidth="1"/>
    <col min="23" max="24" width="8.28515625" customWidth="1"/>
    <col min="25" max="25" width="3.42578125" customWidth="1"/>
    <col min="26" max="26" width="4.7109375" customWidth="1"/>
    <col min="27" max="28" width="8.28515625" customWidth="1"/>
    <col min="29" max="29" width="3.42578125" customWidth="1"/>
  </cols>
  <sheetData>
    <row r="1" spans="2:28" ht="15" thickBot="1"/>
    <row r="2" spans="2:28" ht="15" thickBot="1">
      <c r="B2" s="71" t="s">
        <v>0</v>
      </c>
      <c r="C2" s="72"/>
      <c r="D2" s="61"/>
      <c r="E2" s="62"/>
      <c r="F2" s="63"/>
      <c r="N2" s="36" t="s">
        <v>1</v>
      </c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8"/>
    </row>
    <row r="3" spans="2:28" ht="15" thickBot="1">
      <c r="B3" s="73" t="s">
        <v>2</v>
      </c>
      <c r="C3" s="74"/>
      <c r="D3" s="64"/>
      <c r="E3" s="65"/>
      <c r="F3" s="66"/>
      <c r="N3" s="45" t="s">
        <v>3</v>
      </c>
      <c r="O3" s="33"/>
      <c r="P3" s="33"/>
      <c r="Q3" s="33"/>
      <c r="R3" s="42" cm="1">
        <f t="array" ref="R3">SUMPRODUCT(IFERROR(_xlfn.VSTACK(C10:C25,G10:G25,K10:K25,O10:O25,S10:S25,W10:W25,AA10:AA25)*(_xlfn.VSTACK(C10:C25,G10:G25,K10:K25,O10:O25,S10:S25,W10:W25,AA10:AA25)&gt;2.8)*(_xlfn.VSTACK(C10:C25,G10:G25,K10:K25,O10:O25,S10:S25,W10:W25,AA10:AA25)&lt;4.1),0))</f>
        <v>0</v>
      </c>
      <c r="S3" s="42"/>
      <c r="T3" s="20"/>
      <c r="U3" s="20"/>
      <c r="V3" s="33" t="s">
        <v>4</v>
      </c>
      <c r="W3" s="33"/>
      <c r="X3" s="33"/>
      <c r="Y3" s="33"/>
      <c r="Z3" s="39" t="e" cm="1">
        <f t="array" ref="Z3">_xlfn.XLOOKUP(MIN(_xlfn.VSTACK(D10:D25,H10:H25,L10:L25,P10:P25,T10:T25,X10:X25,AB10:AB25)),_xlfn.VSTACK(D10:D25,H10:H25,L10:L25,P10:P25,T10:T25,X10:X25,AB10:AB25),_xlfn.VSTACK(B10:B25,F10:F25,J10:J25,N10:N25,R10:R25,V10:V25,Z10:Z25))</f>
        <v>#N/A</v>
      </c>
      <c r="AA3" s="39"/>
      <c r="AB3" s="23"/>
    </row>
    <row r="4" spans="2:28" ht="14.65" customHeight="1">
      <c r="N4" s="46" t="s">
        <v>5</v>
      </c>
      <c r="O4" s="34"/>
      <c r="P4" s="34"/>
      <c r="Q4" s="34"/>
      <c r="R4" s="43" t="e" cm="1">
        <f t="array" ref="R4">TRUNC(VToSoc(SUMPRODUCT(IFERROR(_xlfn.VSTACK(C10:C25,G10:G25,K10:K25,O10:O25,S10:S25,W10:W25,AA10:AA25)*(_xlfn.VSTACK(C10:C25,G10:G25,K10:K25,O10:O25,S10:S25,W10:W25,AA10:AA25)&gt;2.8)*(_xlfn.VSTACK(C10:C25,G10:G25,K10:K25,O10:O25,S10:S25,W10:W25,AA10:AA25)&lt;4.1),0))/SUMPRODUCT((_xlfn.VSTACK(C10:C25,G10:G25,K10:K25,O10:O25,S10:S25,W10:W25,AA10:AA25)&gt;2.8)*(_xlfn.VSTACK(C10:C25,G10:G25,K10:K25,O10:O25,S10:S25,W10:W25,AA10:AA25)&lt;4.1))))/100</f>
        <v>#DIV/0!</v>
      </c>
      <c r="S4" s="43"/>
      <c r="T4" s="21"/>
      <c r="U4" s="21"/>
      <c r="V4" s="34" t="s">
        <v>6</v>
      </c>
      <c r="W4" s="34"/>
      <c r="X4" s="34"/>
      <c r="Y4" s="34"/>
      <c r="Z4" s="40" t="e" cm="1">
        <f t="array" ref="Z4">_xlfn.XLOOKUP(MAX(_xlfn.VSTACK(D10:D25,H10:H25,L10:L25,P10:P25,T10:T25,X10:X25,AB10:AB25)),_xlfn.VSTACK(D10:D25,H10:H25,L10:L25,P10:P25,T10:T25,X10:X25,AB10:AB25),_xlfn.VSTACK(B10:B25,F10:F25,J10:J25,N10:N25,R10:R25,V10:V25,Z10:Z25))</f>
        <v>#N/A</v>
      </c>
      <c r="AA4" s="40"/>
      <c r="AB4" s="24"/>
    </row>
    <row r="5" spans="2:28" ht="14.65" customHeight="1" thickBot="1">
      <c r="B5" s="67" t="s">
        <v>7</v>
      </c>
      <c r="C5" s="67"/>
      <c r="D5" s="67"/>
      <c r="E5" s="67"/>
      <c r="F5" s="67"/>
      <c r="G5" s="67"/>
      <c r="H5" s="67"/>
      <c r="I5" s="67"/>
      <c r="J5" s="67"/>
      <c r="K5" s="67"/>
      <c r="L5" s="67"/>
      <c r="M5" s="8"/>
      <c r="N5" s="31"/>
      <c r="O5" s="32"/>
      <c r="P5" s="32"/>
      <c r="Q5" s="32"/>
      <c r="R5" s="44"/>
      <c r="S5" s="44"/>
      <c r="T5" s="22"/>
      <c r="U5" s="22"/>
      <c r="V5" s="35" t="s">
        <v>8</v>
      </c>
      <c r="W5" s="35"/>
      <c r="X5" s="35"/>
      <c r="Y5" s="35"/>
      <c r="Z5" s="41">
        <f>MAX(D10:D25,H10:H25,L10:L25,P10:P25,T10:T25,X10:X25,AB10:AB25)-MIN(D10:D25,H10:H25,L10:L25,P10:P25,T10:T25,X10:X25,AB10:AB25)</f>
        <v>0</v>
      </c>
      <c r="AA5" s="41"/>
      <c r="AB5" s="25"/>
    </row>
    <row r="6" spans="2:28"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8"/>
    </row>
    <row r="7" spans="2:28" ht="15" thickBot="1"/>
    <row r="8" spans="2:28">
      <c r="B8" s="68" t="s">
        <v>9</v>
      </c>
      <c r="C8" s="69"/>
      <c r="D8" s="70"/>
      <c r="F8" s="68" t="s">
        <v>10</v>
      </c>
      <c r="G8" s="69"/>
      <c r="H8" s="70"/>
      <c r="J8" s="68" t="s">
        <v>11</v>
      </c>
      <c r="K8" s="69"/>
      <c r="L8" s="70"/>
      <c r="N8" s="68" t="s">
        <v>12</v>
      </c>
      <c r="O8" s="69"/>
      <c r="P8" s="70"/>
      <c r="R8" s="68" t="s">
        <v>13</v>
      </c>
      <c r="S8" s="69"/>
      <c r="T8" s="70"/>
      <c r="V8" s="68" t="s">
        <v>14</v>
      </c>
      <c r="W8" s="69"/>
      <c r="X8" s="70"/>
      <c r="Z8" s="68" t="s">
        <v>15</v>
      </c>
      <c r="AA8" s="69"/>
      <c r="AB8" s="70"/>
    </row>
    <row r="9" spans="2:28" ht="15" thickBot="1">
      <c r="B9" s="15" t="s">
        <v>16</v>
      </c>
      <c r="C9" s="16" t="s">
        <v>17</v>
      </c>
      <c r="D9" s="17" t="s">
        <v>18</v>
      </c>
      <c r="F9" s="15" t="s">
        <v>16</v>
      </c>
      <c r="G9" s="16" t="s">
        <v>17</v>
      </c>
      <c r="H9" s="17" t="s">
        <v>18</v>
      </c>
      <c r="J9" s="15" t="s">
        <v>16</v>
      </c>
      <c r="K9" s="16" t="s">
        <v>17</v>
      </c>
      <c r="L9" s="17" t="s">
        <v>18</v>
      </c>
      <c r="N9" s="15" t="s">
        <v>16</v>
      </c>
      <c r="O9" s="16" t="s">
        <v>17</v>
      </c>
      <c r="P9" s="17" t="s">
        <v>18</v>
      </c>
      <c r="R9" s="15" t="s">
        <v>16</v>
      </c>
      <c r="S9" s="16" t="s">
        <v>17</v>
      </c>
      <c r="T9" s="17" t="s">
        <v>18</v>
      </c>
      <c r="V9" s="15" t="s">
        <v>16</v>
      </c>
      <c r="W9" s="16" t="s">
        <v>17</v>
      </c>
      <c r="X9" s="17" t="s">
        <v>18</v>
      </c>
      <c r="Z9" s="15" t="s">
        <v>16</v>
      </c>
      <c r="AA9" s="16" t="s">
        <v>17</v>
      </c>
      <c r="AB9" s="17" t="s">
        <v>18</v>
      </c>
    </row>
    <row r="10" spans="2:28">
      <c r="B10" s="9" t="str">
        <f>"1.01"</f>
        <v>1.01</v>
      </c>
      <c r="C10" s="28"/>
      <c r="D10" s="12" t="str" cm="1">
        <f t="array" ref="D10">IF(ISBLANK(C10),"",IF(2.8&lt;C10,IF(C10&lt;4.1,VToSoc(C10)/100,"HI"),"LO"))</f>
        <v/>
      </c>
      <c r="F10" s="9" t="str">
        <f>"2.01"</f>
        <v>2.01</v>
      </c>
      <c r="G10" s="28"/>
      <c r="H10" s="12" t="str" cm="1">
        <f t="array" ref="H10">IF(ISBLANK(G10),"",IF(2.8&lt;G10,IF(G10&lt;4.1,VToSoc(G10)/100,"HI"),"LO"))</f>
        <v/>
      </c>
      <c r="J10" s="9" t="str">
        <f>"3.01"</f>
        <v>3.01</v>
      </c>
      <c r="K10" s="28"/>
      <c r="L10" s="12" t="str" cm="1">
        <f t="array" ref="L10">IF(ISBLANK(K10),"",IF(2.8&lt;K10,IF(K10&lt;4.1,VToSoc(K10)/100,"HI"),"LO"))</f>
        <v/>
      </c>
      <c r="N10" s="9" t="str">
        <f>"4.01"</f>
        <v>4.01</v>
      </c>
      <c r="O10" s="28"/>
      <c r="P10" s="12" t="str" cm="1">
        <f t="array" ref="P10">IF(ISBLANK(O10),"",IF(2.8&lt;O10,IF(O10&lt;4.1,VToSoc(O10)/100,"HI"),"LO"))</f>
        <v/>
      </c>
      <c r="R10" s="9" t="str">
        <f>"5.01"</f>
        <v>5.01</v>
      </c>
      <c r="S10" s="28"/>
      <c r="T10" s="12" t="str" cm="1">
        <f t="array" ref="T10">IF(ISBLANK(S10),"",IF(2.8&lt;S10,IF(S10&lt;4.1,VToSoc(S10)/100,"HI"),"LO"))</f>
        <v/>
      </c>
      <c r="V10" s="9" t="str">
        <f>"6.01"</f>
        <v>6.01</v>
      </c>
      <c r="W10" s="28"/>
      <c r="X10" s="12" t="str" cm="1">
        <f t="array" ref="X10">IF(ISBLANK(W10),"",IF(2.8&lt;W10,IF(W10&lt;4.1,VToSoc(W10)/100,"HI"),"LO"))</f>
        <v/>
      </c>
      <c r="Z10" s="9" t="str">
        <f>"7.01"</f>
        <v>7.01</v>
      </c>
      <c r="AA10" s="28"/>
      <c r="AB10" s="12" t="str" cm="1">
        <f t="array" ref="AB10">IF(ISBLANK(AA10),"",IF(2.8&lt;AA10,IF(AA10&lt;4.1,VToSoc(AA10)/100,"HI"),"LO"))</f>
        <v/>
      </c>
    </row>
    <row r="11" spans="2:28">
      <c r="B11" s="10" t="str">
        <f>TEXT(_xlfn.NUMBERVALUE(B10)+0.01,"0.00")</f>
        <v>1.02</v>
      </c>
      <c r="C11" s="29"/>
      <c r="D11" s="13" t="str" cm="1">
        <f t="array" ref="D11">IF(ISBLANK(C11),"",IF(2.8&lt;C11,IF(C11&lt;4.1,VToSoc(C11)/100,"HI"),"LO"))</f>
        <v/>
      </c>
      <c r="F11" s="10" t="str">
        <f t="shared" ref="F11:F25" si="0">TEXT(_xlfn.NUMBERVALUE(F10)+0.01,"0.00")</f>
        <v>2.02</v>
      </c>
      <c r="G11" s="29"/>
      <c r="H11" s="13" t="str" cm="1">
        <f t="array" ref="H11">IF(ISBLANK(G11),"",IF(2.8&lt;G11,IF(G11&lt;4.1,VToSoc(G11)/100,"HI"),"LO"))</f>
        <v/>
      </c>
      <c r="J11" s="10" t="str">
        <f t="shared" ref="J11:J25" si="1">TEXT(_xlfn.NUMBERVALUE(J10)+0.01,"0.00")</f>
        <v>3.02</v>
      </c>
      <c r="K11" s="29"/>
      <c r="L11" s="13" t="str" cm="1">
        <f t="array" ref="L11">IF(ISBLANK(K11),"",IF(2.8&lt;K11,IF(K11&lt;4.1,VToSoc(K11)/100,"HI"),"LO"))</f>
        <v/>
      </c>
      <c r="N11" s="10" t="str">
        <f t="shared" ref="N11:N25" si="2">TEXT(_xlfn.NUMBERVALUE(N10)+0.01,"0.00")</f>
        <v>4.02</v>
      </c>
      <c r="O11" s="29"/>
      <c r="P11" s="13" t="str" cm="1">
        <f t="array" ref="P11">IF(ISBLANK(O11),"",IF(2.8&lt;O11,IF(O11&lt;4.1,VToSoc(O11)/100,"HI"),"LO"))</f>
        <v/>
      </c>
      <c r="R11" s="10" t="str">
        <f t="shared" ref="R11:R25" si="3">TEXT(_xlfn.NUMBERVALUE(R10)+0.01,"0.00")</f>
        <v>5.02</v>
      </c>
      <c r="S11" s="29"/>
      <c r="T11" s="13" t="str" cm="1">
        <f t="array" ref="T11">IF(ISBLANK(S11),"",IF(2.8&lt;S11,IF(S11&lt;4.1,VToSoc(S11)/100,"HI"),"LO"))</f>
        <v/>
      </c>
      <c r="V11" s="10" t="str">
        <f t="shared" ref="V11:V25" si="4">TEXT(_xlfn.NUMBERVALUE(V10)+0.01,"0.00")</f>
        <v>6.02</v>
      </c>
      <c r="W11" s="29"/>
      <c r="X11" s="13" t="str" cm="1">
        <f t="array" ref="X11">IF(ISBLANK(W11),"",IF(2.8&lt;W11,IF(W11&lt;4.1,VToSoc(W11)/100,"HI"),"LO"))</f>
        <v/>
      </c>
      <c r="Z11" s="10" t="str">
        <f t="shared" ref="Z11:Z25" si="5">TEXT(_xlfn.NUMBERVALUE(Z10)+0.01,"0.00")</f>
        <v>7.02</v>
      </c>
      <c r="AA11" s="29"/>
      <c r="AB11" s="13" t="str" cm="1">
        <f t="array" ref="AB11">IF(ISBLANK(AA11),"",IF(2.8&lt;AA11,IF(AA11&lt;4.1,VToSoc(AA11)/100,"HI"),"LO"))</f>
        <v/>
      </c>
    </row>
    <row r="12" spans="2:28">
      <c r="B12" s="9" t="str">
        <f t="shared" ref="B12:B25" si="6">TEXT(_xlfn.NUMBERVALUE(B11)+0.01,"0.00")</f>
        <v>1.03</v>
      </c>
      <c r="C12" s="28"/>
      <c r="D12" s="12" t="str" cm="1">
        <f t="array" ref="D12">IF(ISBLANK(C12),"",IF(2.8&lt;C12,IF(C12&lt;4.1,VToSoc(C12)/100,"HI"),"LO"))</f>
        <v/>
      </c>
      <c r="F12" s="9" t="str">
        <f t="shared" si="0"/>
        <v>2.03</v>
      </c>
      <c r="G12" s="28"/>
      <c r="H12" s="12" t="str" cm="1">
        <f t="array" ref="H12">IF(ISBLANK(G12),"",IF(2.8&lt;G12,IF(G12&lt;4.1,VToSoc(G12)/100,"HI"),"LO"))</f>
        <v/>
      </c>
      <c r="J12" s="9" t="str">
        <f t="shared" si="1"/>
        <v>3.03</v>
      </c>
      <c r="K12" s="28"/>
      <c r="L12" s="12" t="str" cm="1">
        <f t="array" ref="L12">IF(ISBLANK(K12),"",IF(2.8&lt;K12,IF(K12&lt;4.1,VToSoc(K12)/100,"HI"),"LO"))</f>
        <v/>
      </c>
      <c r="N12" s="9" t="str">
        <f t="shared" si="2"/>
        <v>4.03</v>
      </c>
      <c r="O12" s="28"/>
      <c r="P12" s="12" t="str" cm="1">
        <f t="array" ref="P12">IF(ISBLANK(O12),"",IF(2.8&lt;O12,IF(O12&lt;4.1,VToSoc(O12)/100,"HI"),"LO"))</f>
        <v/>
      </c>
      <c r="R12" s="9" t="str">
        <f t="shared" si="3"/>
        <v>5.03</v>
      </c>
      <c r="S12" s="28"/>
      <c r="T12" s="12" t="str" cm="1">
        <f t="array" ref="T12">IF(ISBLANK(S12),"",IF(2.8&lt;S12,IF(S12&lt;4.1,VToSoc(S12)/100,"HI"),"LO"))</f>
        <v/>
      </c>
      <c r="V12" s="9" t="str">
        <f t="shared" si="4"/>
        <v>6.03</v>
      </c>
      <c r="W12" s="28"/>
      <c r="X12" s="12" t="str" cm="1">
        <f t="array" ref="X12">IF(ISBLANK(W12),"",IF(2.8&lt;W12,IF(W12&lt;4.1,VToSoc(W12)/100,"HI"),"LO"))</f>
        <v/>
      </c>
      <c r="Z12" s="9" t="str">
        <f t="shared" si="5"/>
        <v>7.03</v>
      </c>
      <c r="AA12" s="28"/>
      <c r="AB12" s="12" t="str" cm="1">
        <f t="array" ref="AB12">IF(ISBLANK(AA12),"",IF(2.8&lt;AA12,IF(AA12&lt;4.1,VToSoc(AA12)/100,"HI"),"LO"))</f>
        <v/>
      </c>
    </row>
    <row r="13" spans="2:28">
      <c r="B13" s="10" t="str">
        <f t="shared" si="6"/>
        <v>1.04</v>
      </c>
      <c r="C13" s="29"/>
      <c r="D13" s="13" t="str" cm="1">
        <f t="array" ref="D13">IF(ISBLANK(C13),"",IF(2.8&lt;C13,IF(C13&lt;4.1,VToSoc(C13)/100,"HI"),"LO"))</f>
        <v/>
      </c>
      <c r="F13" s="10" t="str">
        <f t="shared" si="0"/>
        <v>2.04</v>
      </c>
      <c r="G13" s="29"/>
      <c r="H13" s="13" t="str" cm="1">
        <f t="array" ref="H13">IF(ISBLANK(G13),"",IF(2.8&lt;G13,IF(G13&lt;4.1,VToSoc(G13)/100,"HI"),"LO"))</f>
        <v/>
      </c>
      <c r="J13" s="10" t="str">
        <f t="shared" si="1"/>
        <v>3.04</v>
      </c>
      <c r="K13" s="29"/>
      <c r="L13" s="13" t="str" cm="1">
        <f t="array" ref="L13">IF(ISBLANK(K13),"",IF(2.8&lt;K13,IF(K13&lt;4.1,VToSoc(K13)/100,"HI"),"LO"))</f>
        <v/>
      </c>
      <c r="N13" s="10" t="str">
        <f t="shared" si="2"/>
        <v>4.04</v>
      </c>
      <c r="O13" s="29"/>
      <c r="P13" s="13" t="str" cm="1">
        <f t="array" ref="P13">IF(ISBLANK(O13),"",IF(2.8&lt;O13,IF(O13&lt;4.1,VToSoc(O13)/100,"HI"),"LO"))</f>
        <v/>
      </c>
      <c r="R13" s="10" t="str">
        <f t="shared" si="3"/>
        <v>5.04</v>
      </c>
      <c r="S13" s="29"/>
      <c r="T13" s="13" t="str" cm="1">
        <f t="array" ref="T13">IF(ISBLANK(S13),"",IF(2.8&lt;S13,IF(S13&lt;4.1,VToSoc(S13)/100,"HI"),"LO"))</f>
        <v/>
      </c>
      <c r="V13" s="10" t="str">
        <f t="shared" si="4"/>
        <v>6.04</v>
      </c>
      <c r="W13" s="29"/>
      <c r="X13" s="13" t="str" cm="1">
        <f t="array" ref="X13">IF(ISBLANK(W13),"",IF(2.8&lt;W13,IF(W13&lt;4.1,VToSoc(W13)/100,"HI"),"LO"))</f>
        <v/>
      </c>
      <c r="Z13" s="10" t="str">
        <f t="shared" si="5"/>
        <v>7.04</v>
      </c>
      <c r="AA13" s="29"/>
      <c r="AB13" s="13" t="str" cm="1">
        <f t="array" ref="AB13">IF(ISBLANK(AA13),"",IF(2.8&lt;AA13,IF(AA13&lt;4.1,VToSoc(AA13)/100,"HI"),"LO"))</f>
        <v/>
      </c>
    </row>
    <row r="14" spans="2:28">
      <c r="B14" s="9" t="str">
        <f t="shared" si="6"/>
        <v>1.05</v>
      </c>
      <c r="C14" s="28"/>
      <c r="D14" s="12" t="str" cm="1">
        <f t="array" ref="D14">IF(ISBLANK(C14),"",IF(2.8&lt;C14,IF(C14&lt;4.1,VToSoc(C14)/100,"HI"),"LO"))</f>
        <v/>
      </c>
      <c r="F14" s="9" t="str">
        <f t="shared" si="0"/>
        <v>2.05</v>
      </c>
      <c r="G14" s="28"/>
      <c r="H14" s="12" t="str" cm="1">
        <f t="array" ref="H14">IF(ISBLANK(G14),"",IF(2.8&lt;G14,IF(G14&lt;4.1,VToSoc(G14)/100,"HI"),"LO"))</f>
        <v/>
      </c>
      <c r="J14" s="9" t="str">
        <f t="shared" si="1"/>
        <v>3.05</v>
      </c>
      <c r="K14" s="28"/>
      <c r="L14" s="12" t="str" cm="1">
        <f t="array" ref="L14">IF(ISBLANK(K14),"",IF(2.8&lt;K14,IF(K14&lt;4.1,VToSoc(K14)/100,"HI"),"LO"))</f>
        <v/>
      </c>
      <c r="N14" s="9" t="str">
        <f t="shared" si="2"/>
        <v>4.05</v>
      </c>
      <c r="O14" s="28"/>
      <c r="P14" s="12" t="str" cm="1">
        <f t="array" ref="P14">IF(ISBLANK(O14),"",IF(2.8&lt;O14,IF(O14&lt;4.1,VToSoc(O14)/100,"HI"),"LO"))</f>
        <v/>
      </c>
      <c r="R14" s="9" t="str">
        <f t="shared" si="3"/>
        <v>5.05</v>
      </c>
      <c r="S14" s="28"/>
      <c r="T14" s="12" t="str" cm="1">
        <f t="array" ref="T14">IF(ISBLANK(S14),"",IF(2.8&lt;S14,IF(S14&lt;4.1,VToSoc(S14)/100,"HI"),"LO"))</f>
        <v/>
      </c>
      <c r="V14" s="9" t="str">
        <f t="shared" si="4"/>
        <v>6.05</v>
      </c>
      <c r="W14" s="28"/>
      <c r="X14" s="12" t="str" cm="1">
        <f t="array" ref="X14">IF(ISBLANK(W14),"",IF(2.8&lt;W14,IF(W14&lt;4.1,VToSoc(W14)/100,"HI"),"LO"))</f>
        <v/>
      </c>
      <c r="Z14" s="9" t="str">
        <f t="shared" si="5"/>
        <v>7.05</v>
      </c>
      <c r="AA14" s="28"/>
      <c r="AB14" s="12" t="str" cm="1">
        <f t="array" ref="AB14">IF(ISBLANK(AA14),"",IF(2.8&lt;AA14,IF(AA14&lt;4.1,VToSoc(AA14)/100,"HI"),"LO"))</f>
        <v/>
      </c>
    </row>
    <row r="15" spans="2:28">
      <c r="B15" s="10" t="str">
        <f t="shared" si="6"/>
        <v>1.06</v>
      </c>
      <c r="C15" s="29"/>
      <c r="D15" s="13" t="str" cm="1">
        <f t="array" ref="D15">IF(ISBLANK(C15),"",IF(2.8&lt;C15,IF(C15&lt;4.1,VToSoc(C15)/100,"HI"),"LO"))</f>
        <v/>
      </c>
      <c r="F15" s="10" t="str">
        <f t="shared" si="0"/>
        <v>2.06</v>
      </c>
      <c r="G15" s="29"/>
      <c r="H15" s="13" t="str" cm="1">
        <f t="array" ref="H15">IF(ISBLANK(G15),"",IF(2.8&lt;G15,IF(G15&lt;4.1,VToSoc(G15)/100,"HI"),"LO"))</f>
        <v/>
      </c>
      <c r="J15" s="10" t="str">
        <f t="shared" si="1"/>
        <v>3.06</v>
      </c>
      <c r="K15" s="29"/>
      <c r="L15" s="13" t="str" cm="1">
        <f t="array" ref="L15">IF(ISBLANK(K15),"",IF(2.8&lt;K15,IF(K15&lt;4.1,VToSoc(K15)/100,"HI"),"LO"))</f>
        <v/>
      </c>
      <c r="N15" s="10" t="str">
        <f t="shared" si="2"/>
        <v>4.06</v>
      </c>
      <c r="O15" s="29"/>
      <c r="P15" s="13" t="str" cm="1">
        <f t="array" ref="P15">IF(ISBLANK(O15),"",IF(2.8&lt;O15,IF(O15&lt;4.1,VToSoc(O15)/100,"HI"),"LO"))</f>
        <v/>
      </c>
      <c r="R15" s="10" t="str">
        <f t="shared" si="3"/>
        <v>5.06</v>
      </c>
      <c r="S15" s="29"/>
      <c r="T15" s="13" t="str" cm="1">
        <f t="array" ref="T15">IF(ISBLANK(S15),"",IF(2.8&lt;S15,IF(S15&lt;4.1,VToSoc(S15)/100,"HI"),"LO"))</f>
        <v/>
      </c>
      <c r="V15" s="10" t="str">
        <f t="shared" si="4"/>
        <v>6.06</v>
      </c>
      <c r="W15" s="29"/>
      <c r="X15" s="13" t="str" cm="1">
        <f t="array" ref="X15">IF(ISBLANK(W15),"",IF(2.8&lt;W15,IF(W15&lt;4.1,VToSoc(W15)/100,"HI"),"LO"))</f>
        <v/>
      </c>
      <c r="Z15" s="10" t="str">
        <f t="shared" si="5"/>
        <v>7.06</v>
      </c>
      <c r="AA15" s="29"/>
      <c r="AB15" s="13" t="str" cm="1">
        <f t="array" ref="AB15">IF(ISBLANK(AA15),"",IF(2.8&lt;AA15,IF(AA15&lt;4.1,VToSoc(AA15)/100,"HI"),"LO"))</f>
        <v/>
      </c>
    </row>
    <row r="16" spans="2:28">
      <c r="B16" s="9" t="str">
        <f t="shared" si="6"/>
        <v>1.07</v>
      </c>
      <c r="C16" s="28"/>
      <c r="D16" s="12" t="str" cm="1">
        <f t="array" ref="D16">IF(ISBLANK(C16),"",IF(2.8&lt;C16,IF(C16&lt;4.1,VToSoc(C16)/100,"HI"),"LO"))</f>
        <v/>
      </c>
      <c r="F16" s="9" t="str">
        <f t="shared" si="0"/>
        <v>2.07</v>
      </c>
      <c r="G16" s="28"/>
      <c r="H16" s="12" t="str" cm="1">
        <f t="array" ref="H16">IF(ISBLANK(G16),"",IF(2.8&lt;G16,IF(G16&lt;4.1,VToSoc(G16)/100,"HI"),"LO"))</f>
        <v/>
      </c>
      <c r="J16" s="9" t="str">
        <f t="shared" si="1"/>
        <v>3.07</v>
      </c>
      <c r="K16" s="28"/>
      <c r="L16" s="12" t="str" cm="1">
        <f t="array" ref="L16">IF(ISBLANK(K16),"",IF(2.8&lt;K16,IF(K16&lt;4.1,VToSoc(K16)/100,"HI"),"LO"))</f>
        <v/>
      </c>
      <c r="N16" s="9" t="str">
        <f t="shared" si="2"/>
        <v>4.07</v>
      </c>
      <c r="O16" s="28"/>
      <c r="P16" s="12" t="str" cm="1">
        <f t="array" ref="P16">IF(ISBLANK(O16),"",IF(2.8&lt;O16,IF(O16&lt;4.1,VToSoc(O16)/100,"HI"),"LO"))</f>
        <v/>
      </c>
      <c r="R16" s="9" t="str">
        <f t="shared" si="3"/>
        <v>5.07</v>
      </c>
      <c r="S16" s="28"/>
      <c r="T16" s="12" t="str" cm="1">
        <f t="array" ref="T16">IF(ISBLANK(S16),"",IF(2.8&lt;S16,IF(S16&lt;4.1,VToSoc(S16)/100,"HI"),"LO"))</f>
        <v/>
      </c>
      <c r="V16" s="9" t="str">
        <f t="shared" si="4"/>
        <v>6.07</v>
      </c>
      <c r="W16" s="28"/>
      <c r="X16" s="12" t="str" cm="1">
        <f t="array" ref="X16">IF(ISBLANK(W16),"",IF(2.8&lt;W16,IF(W16&lt;4.1,VToSoc(W16)/100,"HI"),"LO"))</f>
        <v/>
      </c>
      <c r="Z16" s="9" t="str">
        <f t="shared" si="5"/>
        <v>7.07</v>
      </c>
      <c r="AA16" s="28"/>
      <c r="AB16" s="12" t="str" cm="1">
        <f t="array" ref="AB16">IF(ISBLANK(AA16),"",IF(2.8&lt;AA16,IF(AA16&lt;4.1,VToSoc(AA16)/100,"HI"),"LO"))</f>
        <v/>
      </c>
    </row>
    <row r="17" spans="2:28">
      <c r="B17" s="10" t="str">
        <f t="shared" si="6"/>
        <v>1.08</v>
      </c>
      <c r="C17" s="29"/>
      <c r="D17" s="13" t="str" cm="1">
        <f t="array" ref="D17">IF(ISBLANK(C17),"",IF(2.8&lt;C17,IF(C17&lt;4.1,VToSoc(C17)/100,"HI"),"LO"))</f>
        <v/>
      </c>
      <c r="F17" s="10" t="str">
        <f t="shared" si="0"/>
        <v>2.08</v>
      </c>
      <c r="G17" s="29"/>
      <c r="H17" s="13" t="str" cm="1">
        <f t="array" ref="H17">IF(ISBLANK(G17),"",IF(2.8&lt;G17,IF(G17&lt;4.1,VToSoc(G17)/100,"HI"),"LO"))</f>
        <v/>
      </c>
      <c r="J17" s="10" t="str">
        <f t="shared" si="1"/>
        <v>3.08</v>
      </c>
      <c r="K17" s="29"/>
      <c r="L17" s="13" t="str" cm="1">
        <f t="array" ref="L17">IF(ISBLANK(K17),"",IF(2.8&lt;K17,IF(K17&lt;4.1,VToSoc(K17)/100,"HI"),"LO"))</f>
        <v/>
      </c>
      <c r="N17" s="10" t="str">
        <f t="shared" si="2"/>
        <v>4.08</v>
      </c>
      <c r="O17" s="29"/>
      <c r="P17" s="13" t="str" cm="1">
        <f t="array" ref="P17">IF(ISBLANK(O17),"",IF(2.8&lt;O17,IF(O17&lt;4.1,VToSoc(O17)/100,"HI"),"LO"))</f>
        <v/>
      </c>
      <c r="R17" s="10" t="str">
        <f t="shared" si="3"/>
        <v>5.08</v>
      </c>
      <c r="S17" s="29"/>
      <c r="T17" s="13" t="str" cm="1">
        <f t="array" ref="T17">IF(ISBLANK(S17),"",IF(2.8&lt;S17,IF(S17&lt;4.1,VToSoc(S17)/100,"HI"),"LO"))</f>
        <v/>
      </c>
      <c r="V17" s="10" t="str">
        <f t="shared" si="4"/>
        <v>6.08</v>
      </c>
      <c r="W17" s="29"/>
      <c r="X17" s="13" t="str" cm="1">
        <f t="array" ref="X17">IF(ISBLANK(W17),"",IF(2.8&lt;W17,IF(W17&lt;4.1,VToSoc(W17)/100,"HI"),"LO"))</f>
        <v/>
      </c>
      <c r="Z17" s="10" t="str">
        <f t="shared" si="5"/>
        <v>7.08</v>
      </c>
      <c r="AA17" s="29"/>
      <c r="AB17" s="13" t="str" cm="1">
        <f t="array" ref="AB17">IF(ISBLANK(AA17),"",IF(2.8&lt;AA17,IF(AA17&lt;4.1,VToSoc(AA17)/100,"HI"),"LO"))</f>
        <v/>
      </c>
    </row>
    <row r="18" spans="2:28">
      <c r="B18" s="9" t="str">
        <f t="shared" si="6"/>
        <v>1.09</v>
      </c>
      <c r="C18" s="28"/>
      <c r="D18" s="12" t="str" cm="1">
        <f t="array" ref="D18">IF(ISBLANK(C18),"",IF(2.8&lt;C18,IF(C18&lt;4.1,VToSoc(C18)/100,"HI"),"LO"))</f>
        <v/>
      </c>
      <c r="F18" s="9" t="str">
        <f t="shared" si="0"/>
        <v>2.09</v>
      </c>
      <c r="G18" s="28"/>
      <c r="H18" s="12" t="str" cm="1">
        <f t="array" ref="H18">IF(ISBLANK(G18),"",IF(2.8&lt;G18,IF(G18&lt;4.1,VToSoc(G18)/100,"HI"),"LO"))</f>
        <v/>
      </c>
      <c r="J18" s="9" t="str">
        <f t="shared" si="1"/>
        <v>3.09</v>
      </c>
      <c r="K18" s="28"/>
      <c r="L18" s="12" t="str" cm="1">
        <f t="array" ref="L18">IF(ISBLANK(K18),"",IF(2.8&lt;K18,IF(K18&lt;4.1,VToSoc(K18)/100,"HI"),"LO"))</f>
        <v/>
      </c>
      <c r="N18" s="9" t="str">
        <f t="shared" si="2"/>
        <v>4.09</v>
      </c>
      <c r="O18" s="28"/>
      <c r="P18" s="12" t="str" cm="1">
        <f t="array" ref="P18">IF(ISBLANK(O18),"",IF(2.8&lt;O18,IF(O18&lt;4.1,VToSoc(O18)/100,"HI"),"LO"))</f>
        <v/>
      </c>
      <c r="R18" s="9" t="str">
        <f t="shared" si="3"/>
        <v>5.09</v>
      </c>
      <c r="S18" s="28"/>
      <c r="T18" s="12" t="str" cm="1">
        <f t="array" ref="T18">IF(ISBLANK(S18),"",IF(2.8&lt;S18,IF(S18&lt;4.1,VToSoc(S18)/100,"HI"),"LO"))</f>
        <v/>
      </c>
      <c r="V18" s="9" t="str">
        <f t="shared" si="4"/>
        <v>6.09</v>
      </c>
      <c r="W18" s="28"/>
      <c r="X18" s="12" t="str" cm="1">
        <f t="array" ref="X18">IF(ISBLANK(W18),"",IF(2.8&lt;W18,IF(W18&lt;4.1,VToSoc(W18)/100,"HI"),"LO"))</f>
        <v/>
      </c>
      <c r="Z18" s="9" t="str">
        <f t="shared" si="5"/>
        <v>7.09</v>
      </c>
      <c r="AA18" s="28"/>
      <c r="AB18" s="12" t="str" cm="1">
        <f t="array" ref="AB18">IF(ISBLANK(AA18),"",IF(2.8&lt;AA18,IF(AA18&lt;4.1,VToSoc(AA18)/100,"HI"),"LO"))</f>
        <v/>
      </c>
    </row>
    <row r="19" spans="2:28">
      <c r="B19" s="10" t="str">
        <f t="shared" si="6"/>
        <v>1.10</v>
      </c>
      <c r="C19" s="29"/>
      <c r="D19" s="13" t="str" cm="1">
        <f t="array" ref="D19">IF(ISBLANK(C19),"",IF(2.8&lt;C19,IF(C19&lt;4.1,VToSoc(C19)/100,"HI"),"LO"))</f>
        <v/>
      </c>
      <c r="F19" s="10" t="str">
        <f t="shared" si="0"/>
        <v>2.10</v>
      </c>
      <c r="G19" s="29"/>
      <c r="H19" s="13" t="str" cm="1">
        <f t="array" ref="H19">IF(ISBLANK(G19),"",IF(2.8&lt;G19,IF(G19&lt;4.1,VToSoc(G19)/100,"HI"),"LO"))</f>
        <v/>
      </c>
      <c r="J19" s="10" t="str">
        <f t="shared" si="1"/>
        <v>3.10</v>
      </c>
      <c r="K19" s="29"/>
      <c r="L19" s="13" t="str" cm="1">
        <f t="array" ref="L19">IF(ISBLANK(K19),"",IF(2.8&lt;K19,IF(K19&lt;4.1,VToSoc(K19)/100,"HI"),"LO"))</f>
        <v/>
      </c>
      <c r="N19" s="10" t="str">
        <f t="shared" si="2"/>
        <v>4.10</v>
      </c>
      <c r="O19" s="29"/>
      <c r="P19" s="13" t="str" cm="1">
        <f t="array" ref="P19">IF(ISBLANK(O19),"",IF(2.8&lt;O19,IF(O19&lt;4.1,VToSoc(O19)/100,"HI"),"LO"))</f>
        <v/>
      </c>
      <c r="R19" s="10" t="str">
        <f t="shared" si="3"/>
        <v>5.10</v>
      </c>
      <c r="S19" s="29"/>
      <c r="T19" s="13" t="str" cm="1">
        <f t="array" ref="T19">IF(ISBLANK(S19),"",IF(2.8&lt;S19,IF(S19&lt;4.1,VToSoc(S19)/100,"HI"),"LO"))</f>
        <v/>
      </c>
      <c r="V19" s="10" t="str">
        <f t="shared" si="4"/>
        <v>6.10</v>
      </c>
      <c r="W19" s="29"/>
      <c r="X19" s="13" t="str" cm="1">
        <f t="array" ref="X19">IF(ISBLANK(W19),"",IF(2.8&lt;W19,IF(W19&lt;4.1,VToSoc(W19)/100,"HI"),"LO"))</f>
        <v/>
      </c>
      <c r="Z19" s="10" t="str">
        <f t="shared" si="5"/>
        <v>7.10</v>
      </c>
      <c r="AA19" s="29"/>
      <c r="AB19" s="13" t="str" cm="1">
        <f t="array" ref="AB19">IF(ISBLANK(AA19),"",IF(2.8&lt;AA19,IF(AA19&lt;4.1,VToSoc(AA19)/100,"HI"),"LO"))</f>
        <v/>
      </c>
    </row>
    <row r="20" spans="2:28">
      <c r="B20" s="9" t="str">
        <f t="shared" si="6"/>
        <v>1.11</v>
      </c>
      <c r="C20" s="28"/>
      <c r="D20" s="12" t="str" cm="1">
        <f t="array" ref="D20">IF(ISBLANK(C20),"",IF(2.8&lt;C20,IF(C20&lt;4.1,VToSoc(C20)/100,"HI"),"LO"))</f>
        <v/>
      </c>
      <c r="F20" s="9" t="str">
        <f t="shared" si="0"/>
        <v>2.11</v>
      </c>
      <c r="G20" s="28"/>
      <c r="H20" s="12" t="str" cm="1">
        <f t="array" ref="H20">IF(ISBLANK(G20),"",IF(2.8&lt;G20,IF(G20&lt;4.1,VToSoc(G20)/100,"HI"),"LO"))</f>
        <v/>
      </c>
      <c r="J20" s="9" t="str">
        <f t="shared" si="1"/>
        <v>3.11</v>
      </c>
      <c r="K20" s="28"/>
      <c r="L20" s="12" t="str" cm="1">
        <f t="array" ref="L20">IF(ISBLANK(K20),"",IF(2.8&lt;K20,IF(K20&lt;4.1,VToSoc(K20)/100,"HI"),"LO"))</f>
        <v/>
      </c>
      <c r="N20" s="9" t="str">
        <f t="shared" si="2"/>
        <v>4.11</v>
      </c>
      <c r="O20" s="28"/>
      <c r="P20" s="12" t="str" cm="1">
        <f t="array" ref="P20">IF(ISBLANK(O20),"",IF(2.8&lt;O20,IF(O20&lt;4.1,VToSoc(O20)/100,"HI"),"LO"))</f>
        <v/>
      </c>
      <c r="R20" s="9" t="str">
        <f t="shared" si="3"/>
        <v>5.11</v>
      </c>
      <c r="S20" s="28"/>
      <c r="T20" s="12" t="str" cm="1">
        <f t="array" ref="T20">IF(ISBLANK(S20),"",IF(2.8&lt;S20,IF(S20&lt;4.1,VToSoc(S20)/100,"HI"),"LO"))</f>
        <v/>
      </c>
      <c r="V20" s="9" t="str">
        <f t="shared" si="4"/>
        <v>6.11</v>
      </c>
      <c r="W20" s="28"/>
      <c r="X20" s="12" t="str" cm="1">
        <f t="array" ref="X20">IF(ISBLANK(W20),"",IF(2.8&lt;W20,IF(W20&lt;4.1,VToSoc(W20)/100,"HI"),"LO"))</f>
        <v/>
      </c>
      <c r="Z20" s="9" t="str">
        <f t="shared" si="5"/>
        <v>7.11</v>
      </c>
      <c r="AA20" s="28"/>
      <c r="AB20" s="12" t="str" cm="1">
        <f t="array" ref="AB20">IF(ISBLANK(AA20),"",IF(2.8&lt;AA20,IF(AA20&lt;4.1,VToSoc(AA20)/100,"HI"),"LO"))</f>
        <v/>
      </c>
    </row>
    <row r="21" spans="2:28">
      <c r="B21" s="10" t="str">
        <f t="shared" si="6"/>
        <v>1.12</v>
      </c>
      <c r="C21" s="29"/>
      <c r="D21" s="13" t="str" cm="1">
        <f t="array" ref="D21">IF(ISBLANK(C21),"",IF(2.8&lt;C21,IF(C21&lt;4.1,VToSoc(C21)/100,"HI"),"LO"))</f>
        <v/>
      </c>
      <c r="F21" s="10" t="str">
        <f t="shared" si="0"/>
        <v>2.12</v>
      </c>
      <c r="G21" s="29"/>
      <c r="H21" s="13" t="str" cm="1">
        <f t="array" ref="H21">IF(ISBLANK(G21),"",IF(2.8&lt;G21,IF(G21&lt;4.1,VToSoc(G21)/100,"HI"),"LO"))</f>
        <v/>
      </c>
      <c r="J21" s="10" t="str">
        <f t="shared" si="1"/>
        <v>3.12</v>
      </c>
      <c r="K21" s="29"/>
      <c r="L21" s="13" t="str" cm="1">
        <f t="array" ref="L21">IF(ISBLANK(K21),"",IF(2.8&lt;K21,IF(K21&lt;4.1,VToSoc(K21)/100,"HI"),"LO"))</f>
        <v/>
      </c>
      <c r="N21" s="10" t="str">
        <f t="shared" si="2"/>
        <v>4.12</v>
      </c>
      <c r="O21" s="29"/>
      <c r="P21" s="13" t="str" cm="1">
        <f t="array" ref="P21">IF(ISBLANK(O21),"",IF(2.8&lt;O21,IF(O21&lt;4.1,VToSoc(O21)/100,"HI"),"LO"))</f>
        <v/>
      </c>
      <c r="R21" s="10" t="str">
        <f t="shared" si="3"/>
        <v>5.12</v>
      </c>
      <c r="S21" s="29"/>
      <c r="T21" s="13" t="str" cm="1">
        <f t="array" ref="T21">IF(ISBLANK(S21),"",IF(2.8&lt;S21,IF(S21&lt;4.1,VToSoc(S21)/100,"HI"),"LO"))</f>
        <v/>
      </c>
      <c r="V21" s="10" t="str">
        <f t="shared" si="4"/>
        <v>6.12</v>
      </c>
      <c r="W21" s="29"/>
      <c r="X21" s="13" t="str" cm="1">
        <f t="array" ref="X21">IF(ISBLANK(W21),"",IF(2.8&lt;W21,IF(W21&lt;4.1,VToSoc(W21)/100,"HI"),"LO"))</f>
        <v/>
      </c>
      <c r="Z21" s="10" t="str">
        <f t="shared" si="5"/>
        <v>7.12</v>
      </c>
      <c r="AA21" s="29"/>
      <c r="AB21" s="13" t="str" cm="1">
        <f t="array" ref="AB21">IF(ISBLANK(AA21),"",IF(2.8&lt;AA21,IF(AA21&lt;4.1,VToSoc(AA21)/100,"HI"),"LO"))</f>
        <v/>
      </c>
    </row>
    <row r="22" spans="2:28">
      <c r="B22" s="9" t="str">
        <f t="shared" si="6"/>
        <v>1.13</v>
      </c>
      <c r="C22" s="28"/>
      <c r="D22" s="12" t="str" cm="1">
        <f t="array" ref="D22">IF(ISBLANK(C22),"",IF(2.8&lt;C22,IF(C22&lt;4.1,VToSoc(C22)/100,"HI"),"LO"))</f>
        <v/>
      </c>
      <c r="F22" s="9" t="str">
        <f t="shared" si="0"/>
        <v>2.13</v>
      </c>
      <c r="G22" s="28"/>
      <c r="H22" s="12" t="str" cm="1">
        <f t="array" ref="H22">IF(ISBLANK(G22),"",IF(2.8&lt;G22,IF(G22&lt;4.1,VToSoc(G22)/100,"HI"),"LO"))</f>
        <v/>
      </c>
      <c r="J22" s="9" t="str">
        <f t="shared" si="1"/>
        <v>3.13</v>
      </c>
      <c r="K22" s="28"/>
      <c r="L22" s="12" t="str" cm="1">
        <f t="array" ref="L22">IF(ISBLANK(K22),"",IF(2.8&lt;K22,IF(K22&lt;4.1,VToSoc(K22)/100,"HI"),"LO"))</f>
        <v/>
      </c>
      <c r="N22" s="9" t="str">
        <f t="shared" si="2"/>
        <v>4.13</v>
      </c>
      <c r="O22" s="28"/>
      <c r="P22" s="12" t="str" cm="1">
        <f t="array" ref="P22">IF(ISBLANK(O22),"",IF(2.8&lt;O22,IF(O22&lt;4.1,VToSoc(O22)/100,"HI"),"LO"))</f>
        <v/>
      </c>
      <c r="R22" s="9" t="str">
        <f t="shared" si="3"/>
        <v>5.13</v>
      </c>
      <c r="S22" s="28"/>
      <c r="T22" s="12" t="str" cm="1">
        <f t="array" ref="T22">IF(ISBLANK(S22),"",IF(2.8&lt;S22,IF(S22&lt;4.1,VToSoc(S22)/100,"HI"),"LO"))</f>
        <v/>
      </c>
      <c r="V22" s="9" t="str">
        <f t="shared" si="4"/>
        <v>6.13</v>
      </c>
      <c r="W22" s="28"/>
      <c r="X22" s="12" t="str" cm="1">
        <f t="array" ref="X22">IF(ISBLANK(W22),"",IF(2.8&lt;W22,IF(W22&lt;4.1,VToSoc(W22)/100,"HI"),"LO"))</f>
        <v/>
      </c>
      <c r="Z22" s="9" t="str">
        <f t="shared" si="5"/>
        <v>7.13</v>
      </c>
      <c r="AA22" s="28"/>
      <c r="AB22" s="12" t="str" cm="1">
        <f t="array" ref="AB22">IF(ISBLANK(AA22),"",IF(2.8&lt;AA22,IF(AA22&lt;4.1,VToSoc(AA22)/100,"HI"),"LO"))</f>
        <v/>
      </c>
    </row>
    <row r="23" spans="2:28">
      <c r="B23" s="10" t="str">
        <f t="shared" si="6"/>
        <v>1.14</v>
      </c>
      <c r="C23" s="29"/>
      <c r="D23" s="13" t="str" cm="1">
        <f t="array" ref="D23">IF(ISBLANK(C23),"",IF(2.8&lt;C23,IF(C23&lt;4.1,VToSoc(C23)/100,"HI"),"LO"))</f>
        <v/>
      </c>
      <c r="F23" s="10" t="str">
        <f t="shared" si="0"/>
        <v>2.14</v>
      </c>
      <c r="G23" s="29"/>
      <c r="H23" s="13" t="str" cm="1">
        <f t="array" ref="H23">IF(ISBLANK(G23),"",IF(2.8&lt;G23,IF(G23&lt;4.1,VToSoc(G23)/100,"HI"),"LO"))</f>
        <v/>
      </c>
      <c r="J23" s="10" t="str">
        <f t="shared" si="1"/>
        <v>3.14</v>
      </c>
      <c r="K23" s="29"/>
      <c r="L23" s="13" t="str" cm="1">
        <f t="array" ref="L23">IF(ISBLANK(K23),"",IF(2.8&lt;K23,IF(K23&lt;4.1,VToSoc(K23)/100,"HI"),"LO"))</f>
        <v/>
      </c>
      <c r="N23" s="10" t="str">
        <f t="shared" si="2"/>
        <v>4.14</v>
      </c>
      <c r="O23" s="29"/>
      <c r="P23" s="13" t="str" cm="1">
        <f t="array" ref="P23">IF(ISBLANK(O23),"",IF(2.8&lt;O23,IF(O23&lt;4.1,VToSoc(O23)/100,"HI"),"LO"))</f>
        <v/>
      </c>
      <c r="R23" s="10" t="str">
        <f t="shared" si="3"/>
        <v>5.14</v>
      </c>
      <c r="S23" s="29"/>
      <c r="T23" s="13" t="str" cm="1">
        <f t="array" ref="T23">IF(ISBLANK(S23),"",IF(2.8&lt;S23,IF(S23&lt;4.1,VToSoc(S23)/100,"HI"),"LO"))</f>
        <v/>
      </c>
      <c r="V23" s="10" t="str">
        <f t="shared" si="4"/>
        <v>6.14</v>
      </c>
      <c r="W23" s="29"/>
      <c r="X23" s="13" t="str" cm="1">
        <f t="array" ref="X23">IF(ISBLANK(W23),"",IF(2.8&lt;W23,IF(W23&lt;4.1,VToSoc(W23)/100,"HI"),"LO"))</f>
        <v/>
      </c>
      <c r="Z23" s="10" t="str">
        <f t="shared" si="5"/>
        <v>7.14</v>
      </c>
      <c r="AA23" s="29"/>
      <c r="AB23" s="13" t="str" cm="1">
        <f t="array" ref="AB23">IF(ISBLANK(AA23),"",IF(2.8&lt;AA23,IF(AA23&lt;4.1,VToSoc(AA23)/100,"HI"),"LO"))</f>
        <v/>
      </c>
    </row>
    <row r="24" spans="2:28">
      <c r="B24" s="9" t="str">
        <f t="shared" si="6"/>
        <v>1.15</v>
      </c>
      <c r="C24" s="28"/>
      <c r="D24" s="12" t="str" cm="1">
        <f t="array" ref="D24">IF(ISBLANK(C24),"",IF(2.8&lt;C24,IF(C24&lt;4.1,VToSoc(C24)/100,"HI"),"LO"))</f>
        <v/>
      </c>
      <c r="F24" s="9" t="str">
        <f t="shared" si="0"/>
        <v>2.15</v>
      </c>
      <c r="G24" s="28"/>
      <c r="H24" s="12" t="str" cm="1">
        <f t="array" ref="H24">IF(ISBLANK(G24),"",IF(2.8&lt;G24,IF(G24&lt;4.1,VToSoc(G24)/100,"HI"),"LO"))</f>
        <v/>
      </c>
      <c r="J24" s="9" t="str">
        <f t="shared" si="1"/>
        <v>3.15</v>
      </c>
      <c r="K24" s="28"/>
      <c r="L24" s="12" t="str" cm="1">
        <f t="array" ref="L24">IF(ISBLANK(K24),"",IF(2.8&lt;K24,IF(K24&lt;4.1,VToSoc(K24)/100,"HI"),"LO"))</f>
        <v/>
      </c>
      <c r="N24" s="9" t="str">
        <f t="shared" si="2"/>
        <v>4.15</v>
      </c>
      <c r="O24" s="28"/>
      <c r="P24" s="12" t="str" cm="1">
        <f t="array" ref="P24">IF(ISBLANK(O24),"",IF(2.8&lt;O24,IF(O24&lt;4.1,VToSoc(O24)/100,"HI"),"LO"))</f>
        <v/>
      </c>
      <c r="R24" s="9" t="str">
        <f t="shared" si="3"/>
        <v>5.15</v>
      </c>
      <c r="S24" s="28"/>
      <c r="T24" s="12" t="str" cm="1">
        <f t="array" ref="T24">IF(ISBLANK(S24),"",IF(2.8&lt;S24,IF(S24&lt;4.1,VToSoc(S24)/100,"HI"),"LO"))</f>
        <v/>
      </c>
      <c r="V24" s="9" t="str">
        <f t="shared" si="4"/>
        <v>6.15</v>
      </c>
      <c r="W24" s="28"/>
      <c r="X24" s="12" t="str" cm="1">
        <f t="array" ref="X24">IF(ISBLANK(W24),"",IF(2.8&lt;W24,IF(W24&lt;4.1,VToSoc(W24)/100,"HI"),"LO"))</f>
        <v/>
      </c>
      <c r="Z24" s="9" t="str">
        <f t="shared" si="5"/>
        <v>7.15</v>
      </c>
      <c r="AA24" s="28"/>
      <c r="AB24" s="12" t="str" cm="1">
        <f t="array" ref="AB24">IF(ISBLANK(AA24),"",IF(2.8&lt;AA24,IF(AA24&lt;4.1,VToSoc(AA24)/100,"HI"),"LO"))</f>
        <v/>
      </c>
    </row>
    <row r="25" spans="2:28" ht="15" thickBot="1">
      <c r="B25" s="11" t="str">
        <f t="shared" si="6"/>
        <v>1.16</v>
      </c>
      <c r="C25" s="30"/>
      <c r="D25" s="14" t="str" cm="1">
        <f t="array" ref="D25">IF(ISBLANK(C25),"",IF(2.8&lt;C25,IF(C25&lt;4.1,VToSoc(C25)/100,"HI"),"LO"))</f>
        <v/>
      </c>
      <c r="F25" s="11" t="str">
        <f t="shared" si="0"/>
        <v>2.16</v>
      </c>
      <c r="G25" s="30"/>
      <c r="H25" s="14" t="str" cm="1">
        <f t="array" ref="H25">IF(ISBLANK(G25),"",IF(2.8&lt;G25,IF(G25&lt;4.1,VToSoc(G25)/100,"HI"),"LO"))</f>
        <v/>
      </c>
      <c r="J25" s="11" t="str">
        <f t="shared" si="1"/>
        <v>3.16</v>
      </c>
      <c r="K25" s="30"/>
      <c r="L25" s="14" t="str" cm="1">
        <f t="array" ref="L25">IF(ISBLANK(K25),"",IF(2.8&lt;K25,IF(K25&lt;4.1,VToSoc(K25)/100,"HI"),"LO"))</f>
        <v/>
      </c>
      <c r="N25" s="11" t="str">
        <f t="shared" si="2"/>
        <v>4.16</v>
      </c>
      <c r="O25" s="30"/>
      <c r="P25" s="14" t="str" cm="1">
        <f t="array" ref="P25">IF(ISBLANK(O25),"",IF(2.8&lt;O25,IF(O25&lt;4.1,VToSoc(O25)/100,"HI"),"LO"))</f>
        <v/>
      </c>
      <c r="R25" s="11" t="str">
        <f t="shared" si="3"/>
        <v>5.16</v>
      </c>
      <c r="S25" s="30"/>
      <c r="T25" s="14" t="str" cm="1">
        <f t="array" ref="T25">IF(ISBLANK(S25),"",IF(2.8&lt;S25,IF(S25&lt;4.1,VToSoc(S25)/100,"HI"),"LO"))</f>
        <v/>
      </c>
      <c r="V25" s="11" t="str">
        <f t="shared" si="4"/>
        <v>6.16</v>
      </c>
      <c r="W25" s="30"/>
      <c r="X25" s="14" t="str" cm="1">
        <f t="array" ref="X25">IF(ISBLANK(W25),"",IF(2.8&lt;W25,IF(W25&lt;4.1,VToSoc(W25)/100,"HI"),"LO"))</f>
        <v/>
      </c>
      <c r="Z25" s="11" t="str">
        <f t="shared" si="5"/>
        <v>7.16</v>
      </c>
      <c r="AA25" s="30"/>
      <c r="AB25" s="14" t="str" cm="1">
        <f t="array" ref="AB25">IF(ISBLANK(AA25),"",IF(2.8&lt;AA25,IF(AA25&lt;4.1,VToSoc(AA25)/100,"HI"),"LO"))</f>
        <v/>
      </c>
    </row>
    <row r="26" spans="2:28" ht="7.35" customHeight="1" thickBot="1">
      <c r="B26" s="47"/>
      <c r="C26" s="48"/>
      <c r="D26" s="49"/>
      <c r="F26" s="47"/>
      <c r="G26" s="48"/>
      <c r="H26" s="49"/>
      <c r="J26" s="47"/>
      <c r="K26" s="48"/>
      <c r="L26" s="49"/>
      <c r="N26" s="47"/>
      <c r="O26" s="48"/>
      <c r="P26" s="49"/>
      <c r="R26" s="47"/>
      <c r="S26" s="48"/>
      <c r="T26" s="49"/>
      <c r="V26" s="47"/>
      <c r="W26" s="48"/>
      <c r="X26" s="49"/>
      <c r="Z26" s="47"/>
      <c r="AA26" s="48"/>
      <c r="AB26" s="49"/>
    </row>
    <row r="27" spans="2:28">
      <c r="B27" s="50" t="s">
        <v>19</v>
      </c>
      <c r="C27" s="51"/>
      <c r="D27" s="18">
        <f>MIN(D10:D25)</f>
        <v>0</v>
      </c>
      <c r="F27" s="50" t="s">
        <v>19</v>
      </c>
      <c r="G27" s="51"/>
      <c r="H27" s="18">
        <f>MIN(H10:H25)</f>
        <v>0</v>
      </c>
      <c r="J27" s="50" t="s">
        <v>19</v>
      </c>
      <c r="K27" s="51"/>
      <c r="L27" s="18">
        <f>MIN(L10:L25)</f>
        <v>0</v>
      </c>
      <c r="N27" s="50" t="s">
        <v>19</v>
      </c>
      <c r="O27" s="51"/>
      <c r="P27" s="18">
        <f>MIN(P10:P25)</f>
        <v>0</v>
      </c>
      <c r="R27" s="50" t="s">
        <v>19</v>
      </c>
      <c r="S27" s="51"/>
      <c r="T27" s="18">
        <f>MIN(T10:T25)</f>
        <v>0</v>
      </c>
      <c r="V27" s="50" t="s">
        <v>19</v>
      </c>
      <c r="W27" s="51"/>
      <c r="X27" s="18">
        <f>MIN(X10:X25)</f>
        <v>0</v>
      </c>
      <c r="Z27" s="50" t="s">
        <v>19</v>
      </c>
      <c r="AA27" s="51"/>
      <c r="AB27" s="18">
        <f>MIN(AB10:AB25)</f>
        <v>0</v>
      </c>
    </row>
    <row r="28" spans="2:28">
      <c r="B28" s="46" t="s">
        <v>20</v>
      </c>
      <c r="C28" s="34"/>
      <c r="D28" s="13">
        <f>MAX(D10:D25)</f>
        <v>0</v>
      </c>
      <c r="F28" s="46" t="s">
        <v>20</v>
      </c>
      <c r="G28" s="34"/>
      <c r="H28" s="13">
        <f>MAX(H10:H25)</f>
        <v>0</v>
      </c>
      <c r="J28" s="46" t="s">
        <v>20</v>
      </c>
      <c r="K28" s="34"/>
      <c r="L28" s="13">
        <f>MAX(L10:L25)</f>
        <v>0</v>
      </c>
      <c r="N28" s="46" t="s">
        <v>20</v>
      </c>
      <c r="O28" s="34"/>
      <c r="P28" s="13">
        <f>MAX(P10:P25)</f>
        <v>0</v>
      </c>
      <c r="R28" s="46" t="s">
        <v>20</v>
      </c>
      <c r="S28" s="34"/>
      <c r="T28" s="13">
        <f>MAX(T10:T25)</f>
        <v>0</v>
      </c>
      <c r="V28" s="46" t="s">
        <v>20</v>
      </c>
      <c r="W28" s="34"/>
      <c r="X28" s="13">
        <f>MAX(X10:X25)</f>
        <v>0</v>
      </c>
      <c r="Z28" s="46" t="s">
        <v>20</v>
      </c>
      <c r="AA28" s="34"/>
      <c r="AB28" s="13">
        <f>MAX(AB10:AB25)</f>
        <v>0</v>
      </c>
    </row>
    <row r="29" spans="2:28" ht="15" thickBot="1">
      <c r="B29" s="52" t="s">
        <v>21</v>
      </c>
      <c r="C29" s="35"/>
      <c r="D29" s="19">
        <f>D28-D27</f>
        <v>0</v>
      </c>
      <c r="F29" s="52" t="s">
        <v>21</v>
      </c>
      <c r="G29" s="35"/>
      <c r="H29" s="19">
        <f>H28-H27</f>
        <v>0</v>
      </c>
      <c r="J29" s="52" t="s">
        <v>21</v>
      </c>
      <c r="K29" s="35"/>
      <c r="L29" s="19">
        <f>L28-L27</f>
        <v>0</v>
      </c>
      <c r="N29" s="52" t="s">
        <v>21</v>
      </c>
      <c r="O29" s="35"/>
      <c r="P29" s="19">
        <f>P28-P27</f>
        <v>0</v>
      </c>
      <c r="R29" s="52" t="s">
        <v>21</v>
      </c>
      <c r="S29" s="35"/>
      <c r="T29" s="19">
        <f>T28-T27</f>
        <v>0</v>
      </c>
      <c r="V29" s="52" t="s">
        <v>21</v>
      </c>
      <c r="W29" s="35"/>
      <c r="X29" s="19">
        <f>X28-X27</f>
        <v>0</v>
      </c>
      <c r="Z29" s="52" t="s">
        <v>21</v>
      </c>
      <c r="AA29" s="35"/>
      <c r="AB29" s="19">
        <f>AB28-AB27</f>
        <v>0</v>
      </c>
    </row>
    <row r="30" spans="2:28" ht="15" thickBot="1"/>
    <row r="31" spans="2:28">
      <c r="B31" s="53" t="s">
        <v>22</v>
      </c>
      <c r="C31" s="54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7"/>
    </row>
    <row r="32" spans="2:28">
      <c r="B32" s="55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7"/>
    </row>
    <row r="33" spans="2:28">
      <c r="B33" s="55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7"/>
    </row>
    <row r="34" spans="2:28">
      <c r="B34" s="55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7"/>
    </row>
    <row r="35" spans="2:28">
      <c r="B35" s="55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7"/>
    </row>
    <row r="36" spans="2:28">
      <c r="B36" s="55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7"/>
    </row>
    <row r="37" spans="2:28">
      <c r="B37" s="55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7"/>
    </row>
    <row r="38" spans="2:28" ht="15" thickBot="1">
      <c r="B38" s="58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60"/>
    </row>
  </sheetData>
  <mergeCells count="55">
    <mergeCell ref="B31:C31"/>
    <mergeCell ref="B32:AB38"/>
    <mergeCell ref="D2:F2"/>
    <mergeCell ref="D3:F3"/>
    <mergeCell ref="B5:L6"/>
    <mergeCell ref="B8:D8"/>
    <mergeCell ref="F8:H8"/>
    <mergeCell ref="B2:C2"/>
    <mergeCell ref="B3:C3"/>
    <mergeCell ref="J8:L8"/>
    <mergeCell ref="N8:P8"/>
    <mergeCell ref="R8:T8"/>
    <mergeCell ref="V8:X8"/>
    <mergeCell ref="Z8:AB8"/>
    <mergeCell ref="B29:C29"/>
    <mergeCell ref="B26:D26"/>
    <mergeCell ref="F26:H26"/>
    <mergeCell ref="F27:G27"/>
    <mergeCell ref="F28:G28"/>
    <mergeCell ref="F29:G29"/>
    <mergeCell ref="B27:C27"/>
    <mergeCell ref="B28:C28"/>
    <mergeCell ref="J26:L26"/>
    <mergeCell ref="J27:K27"/>
    <mergeCell ref="J28:K28"/>
    <mergeCell ref="J29:K29"/>
    <mergeCell ref="N26:P26"/>
    <mergeCell ref="N27:O27"/>
    <mergeCell ref="N28:O28"/>
    <mergeCell ref="N29:O29"/>
    <mergeCell ref="Z26:AB26"/>
    <mergeCell ref="Z27:AA27"/>
    <mergeCell ref="Z28:AA28"/>
    <mergeCell ref="Z29:AA29"/>
    <mergeCell ref="R26:T26"/>
    <mergeCell ref="R27:S27"/>
    <mergeCell ref="R28:S28"/>
    <mergeCell ref="R29:S29"/>
    <mergeCell ref="V26:X26"/>
    <mergeCell ref="V27:W27"/>
    <mergeCell ref="V28:W28"/>
    <mergeCell ref="V29:W29"/>
    <mergeCell ref="N5:Q5"/>
    <mergeCell ref="V3:Y3"/>
    <mergeCell ref="V4:Y4"/>
    <mergeCell ref="V5:Y5"/>
    <mergeCell ref="N2:AB2"/>
    <mergeCell ref="Z3:AA3"/>
    <mergeCell ref="Z4:AA4"/>
    <mergeCell ref="Z5:AA5"/>
    <mergeCell ref="R3:S3"/>
    <mergeCell ref="R4:S4"/>
    <mergeCell ref="R5:S5"/>
    <mergeCell ref="N3:Q3"/>
    <mergeCell ref="N4:Q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20B2E-31EE-4CAE-9396-FD55754873E7}">
  <dimension ref="B1:AB38"/>
  <sheetViews>
    <sheetView zoomScaleNormal="100" workbookViewId="0">
      <selection activeCell="AD13" sqref="AD13"/>
    </sheetView>
  </sheetViews>
  <sheetFormatPr defaultRowHeight="14.65"/>
  <cols>
    <col min="1" max="1" width="3.42578125" customWidth="1"/>
    <col min="2" max="2" width="4.7109375" customWidth="1"/>
    <col min="3" max="4" width="8.28515625" customWidth="1"/>
    <col min="5" max="5" width="3.42578125" customWidth="1"/>
    <col min="6" max="6" width="4.7109375" customWidth="1"/>
    <col min="7" max="8" width="8.28515625" customWidth="1"/>
    <col min="9" max="9" width="3.42578125" customWidth="1"/>
    <col min="10" max="10" width="4.7109375" customWidth="1"/>
    <col min="11" max="12" width="8.28515625" customWidth="1"/>
    <col min="13" max="13" width="3.42578125" customWidth="1"/>
    <col min="14" max="14" width="4.7109375" customWidth="1"/>
    <col min="15" max="16" width="8.28515625" customWidth="1"/>
    <col min="17" max="17" width="3.42578125" customWidth="1"/>
    <col min="18" max="18" width="4.7109375" customWidth="1"/>
    <col min="19" max="20" width="8.28515625" customWidth="1"/>
    <col min="21" max="21" width="3.42578125" customWidth="1"/>
    <col min="22" max="22" width="4.7109375" customWidth="1"/>
    <col min="23" max="24" width="8.28515625" customWidth="1"/>
    <col min="25" max="25" width="3.42578125" customWidth="1"/>
    <col min="26" max="26" width="4.7109375" customWidth="1"/>
    <col min="27" max="28" width="8.28515625" customWidth="1"/>
    <col min="29" max="29" width="3.42578125" customWidth="1"/>
  </cols>
  <sheetData>
    <row r="1" spans="2:28" ht="15" thickBot="1"/>
    <row r="2" spans="2:28" ht="15" thickBot="1">
      <c r="B2" s="71" t="s">
        <v>0</v>
      </c>
      <c r="C2" s="72"/>
      <c r="D2" s="75">
        <v>46246</v>
      </c>
      <c r="E2" s="62"/>
      <c r="F2" s="63"/>
      <c r="N2" s="36" t="s">
        <v>1</v>
      </c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8"/>
    </row>
    <row r="3" spans="2:28" ht="15" thickBot="1">
      <c r="B3" s="73" t="s">
        <v>2</v>
      </c>
      <c r="C3" s="74"/>
      <c r="D3" s="64" t="s">
        <v>23</v>
      </c>
      <c r="E3" s="65"/>
      <c r="F3" s="66"/>
      <c r="N3" s="45" t="s">
        <v>3</v>
      </c>
      <c r="O3" s="33"/>
      <c r="P3" s="33"/>
      <c r="Q3" s="33"/>
      <c r="R3" s="42" cm="1">
        <f t="array" ref="R3">SUMPRODUCT(IFERROR(_xlfn.VSTACK(C10:C25,G10:G25,K10:K25,O10:O25,S10:S25,W10:W25,AA10:AA25)*(_xlfn.VSTACK(C10:C25,G10:G25,K10:K25,O10:O25,S10:S25,W10:W25,AA10:AA25)&gt;2.8)*(_xlfn.VSTACK(C10:C25,G10:G25,K10:K25,O10:O25,S10:S25,W10:W25,AA10:AA25)&lt;4.1),0))</f>
        <v>412.19000000000017</v>
      </c>
      <c r="S3" s="42"/>
      <c r="T3" s="20"/>
      <c r="U3" s="20"/>
      <c r="V3" s="33" t="s">
        <v>4</v>
      </c>
      <c r="W3" s="33"/>
      <c r="X3" s="33"/>
      <c r="Y3" s="33"/>
      <c r="Z3" s="39" t="str" cm="1">
        <f t="array" ref="Z3">_xlfn.XLOOKUP(MIN(_xlfn.VSTACK(D10:D25,H10:H25,L10:L25,P10:P25,T10:T25,X10:X25,AB10:AB25)),_xlfn.VSTACK(D10:D25,H10:H25,L10:L25,P10:P25,T10:T25,X10:X25,AB10:AB25),_xlfn.VSTACK(B10:B25,F10:F25,J10:J25,N10:N25,R10:R25,V10:V25,Z10:Z25))</f>
        <v>4.01</v>
      </c>
      <c r="AA3" s="39"/>
      <c r="AB3" s="23"/>
    </row>
    <row r="4" spans="2:28" ht="14.65" customHeight="1">
      <c r="N4" s="46" t="s">
        <v>5</v>
      </c>
      <c r="O4" s="34"/>
      <c r="P4" s="34"/>
      <c r="Q4" s="34"/>
      <c r="R4" s="43" cm="1">
        <f t="array" ref="R4">TRUNC(VToSoc(SUMPRODUCT(IFERROR(_xlfn.VSTACK(C10:C25,G10:G25,K10:K25,O10:O25,S10:S25,W10:W25,AA10:AA25)*(_xlfn.VSTACK(C10:C25,G10:G25,K10:K25,O10:O25,S10:S25,W10:W25,AA10:AA25)&gt;2.8)*(_xlfn.VSTACK(C10:C25,G10:G25,K10:K25,O10:O25,S10:S25,W10:W25,AA10:AA25)&lt;4.1),0))/SUMPRODUCT((_xlfn.VSTACK(C10:C25,G10:G25,K10:K25,O10:O25,S10:S25,W10:W25,AA10:AA25)&gt;2.8)*(_xlfn.VSTACK(C10:C25,G10:G25,K10:K25,O10:O25,S10:S25,W10:W25,AA10:AA25)&lt;4.1))))/100</f>
        <v>0.51</v>
      </c>
      <c r="S4" s="43"/>
      <c r="T4" s="21"/>
      <c r="U4" s="21"/>
      <c r="V4" s="34" t="s">
        <v>6</v>
      </c>
      <c r="W4" s="34"/>
      <c r="X4" s="34"/>
      <c r="Y4" s="34"/>
      <c r="Z4" s="40" t="str" cm="1">
        <f t="array" ref="Z4">_xlfn.XLOOKUP(MAX(_xlfn.VSTACK(D10:D25,H10:H25,L10:L25,P10:P25,T10:T25,X10:X25,AB10:AB25)),_xlfn.VSTACK(D10:D25,H10:H25,L10:L25,P10:P25,T10:T25,X10:X25,AB10:AB25),_xlfn.VSTACK(B10:B25,F10:F25,J10:J25,N10:N25,R10:R25,V10:V25,Z10:Z25))</f>
        <v>1.02</v>
      </c>
      <c r="AA4" s="40"/>
      <c r="AB4" s="24"/>
    </row>
    <row r="5" spans="2:28" ht="14.65" customHeight="1" thickBot="1">
      <c r="B5" s="67" t="s">
        <v>7</v>
      </c>
      <c r="C5" s="67"/>
      <c r="D5" s="67"/>
      <c r="E5" s="67"/>
      <c r="F5" s="67"/>
      <c r="G5" s="67"/>
      <c r="H5" s="67"/>
      <c r="I5" s="67"/>
      <c r="J5" s="67"/>
      <c r="K5" s="67"/>
      <c r="L5" s="67"/>
      <c r="M5" s="8"/>
      <c r="N5" s="31"/>
      <c r="O5" s="32"/>
      <c r="P5" s="32"/>
      <c r="Q5" s="32"/>
      <c r="R5" s="44"/>
      <c r="S5" s="44"/>
      <c r="T5" s="22"/>
      <c r="U5" s="22"/>
      <c r="V5" s="35" t="s">
        <v>8</v>
      </c>
      <c r="W5" s="35"/>
      <c r="X5" s="35"/>
      <c r="Y5" s="35"/>
      <c r="Z5" s="41">
        <f>MAX(D10:D25,H10:H25,L10:L25,P10:P25,T10:T25,X10:X25,AB10:AB25)-MIN(D10:D25,H10:H25,L10:L25,P10:P25,T10:T25,X10:X25,AB10:AB25)</f>
        <v>2.1198114524606959E-2</v>
      </c>
      <c r="AA5" s="41"/>
      <c r="AB5" s="25"/>
    </row>
    <row r="6" spans="2:28"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8"/>
    </row>
    <row r="7" spans="2:28" ht="15" thickBot="1"/>
    <row r="8" spans="2:28">
      <c r="B8" s="68" t="s">
        <v>9</v>
      </c>
      <c r="C8" s="69"/>
      <c r="D8" s="70"/>
      <c r="F8" s="68" t="s">
        <v>10</v>
      </c>
      <c r="G8" s="69"/>
      <c r="H8" s="70"/>
      <c r="J8" s="68" t="s">
        <v>11</v>
      </c>
      <c r="K8" s="69"/>
      <c r="L8" s="70"/>
      <c r="N8" s="68" t="s">
        <v>12</v>
      </c>
      <c r="O8" s="69"/>
      <c r="P8" s="70"/>
      <c r="R8" s="68" t="s">
        <v>13</v>
      </c>
      <c r="S8" s="69"/>
      <c r="T8" s="70"/>
      <c r="V8" s="68" t="s">
        <v>14</v>
      </c>
      <c r="W8" s="69"/>
      <c r="X8" s="70"/>
      <c r="Z8" s="68" t="s">
        <v>15</v>
      </c>
      <c r="AA8" s="69"/>
      <c r="AB8" s="70"/>
    </row>
    <row r="9" spans="2:28" ht="15" thickBot="1">
      <c r="B9" s="15" t="s">
        <v>16</v>
      </c>
      <c r="C9" s="16" t="s">
        <v>17</v>
      </c>
      <c r="D9" s="17" t="s">
        <v>18</v>
      </c>
      <c r="F9" s="15" t="s">
        <v>16</v>
      </c>
      <c r="G9" s="16" t="s">
        <v>17</v>
      </c>
      <c r="H9" s="17" t="s">
        <v>18</v>
      </c>
      <c r="J9" s="15" t="s">
        <v>16</v>
      </c>
      <c r="K9" s="16" t="s">
        <v>17</v>
      </c>
      <c r="L9" s="17" t="s">
        <v>18</v>
      </c>
      <c r="N9" s="15" t="s">
        <v>16</v>
      </c>
      <c r="O9" s="16" t="s">
        <v>17</v>
      </c>
      <c r="P9" s="17" t="s">
        <v>18</v>
      </c>
      <c r="R9" s="15" t="s">
        <v>16</v>
      </c>
      <c r="S9" s="16" t="s">
        <v>17</v>
      </c>
      <c r="T9" s="17" t="s">
        <v>18</v>
      </c>
      <c r="V9" s="15" t="s">
        <v>16</v>
      </c>
      <c r="W9" s="16" t="s">
        <v>17</v>
      </c>
      <c r="X9" s="17" t="s">
        <v>18</v>
      </c>
      <c r="Z9" s="15" t="s">
        <v>16</v>
      </c>
      <c r="AA9" s="16" t="s">
        <v>17</v>
      </c>
      <c r="AB9" s="17" t="s">
        <v>18</v>
      </c>
    </row>
    <row r="10" spans="2:28">
      <c r="B10" s="9" t="str">
        <f>"1.01"</f>
        <v>1.01</v>
      </c>
      <c r="C10" s="28">
        <v>3.68</v>
      </c>
      <c r="D10" s="12" cm="1">
        <f t="array" ref="D10">IF(ISBLANK(C10),"",IF(2.8&lt;C10,IF(C10&lt;4.1,VToSoc(C10)/100,"HI"),"LO"))</f>
        <v>0.51653098094503014</v>
      </c>
      <c r="F10" s="9" t="str">
        <f>"2.01"</f>
        <v>2.01</v>
      </c>
      <c r="G10" s="28">
        <v>3.68</v>
      </c>
      <c r="H10" s="12" cm="1">
        <f t="array" ref="H10">IF(ISBLANK(G10),"",IF(2.8&lt;G10,IF(G10&lt;4.1,VToSoc(G10)/100,"HI"),"LO"))</f>
        <v>0.51653098094503014</v>
      </c>
      <c r="J10" s="9" t="str">
        <f>"3.01"</f>
        <v>3.01</v>
      </c>
      <c r="K10" s="28">
        <v>3.68</v>
      </c>
      <c r="L10" s="12" cm="1">
        <f t="array" ref="L10">IF(ISBLANK(K10),"",IF(2.8&lt;K10,IF(K10&lt;4.1,VToSoc(K10)/100,"HI"),"LO"))</f>
        <v>0.51653098094503014</v>
      </c>
      <c r="N10" s="9" t="str">
        <f>"4.01"</f>
        <v>4.01</v>
      </c>
      <c r="O10" s="28">
        <v>3.67</v>
      </c>
      <c r="P10" s="12" cm="1">
        <f t="array" ref="P10">IF(ISBLANK(O10),"",IF(2.8&lt;O10,IF(O10&lt;4.1,VToSoc(O10)/100,"HI"),"LO"))</f>
        <v>0.5060427249135957</v>
      </c>
      <c r="R10" s="9" t="str">
        <f>"5.01"</f>
        <v>5.01</v>
      </c>
      <c r="S10" s="28">
        <v>3.68</v>
      </c>
      <c r="T10" s="12" cm="1">
        <f t="array" ref="T10">IF(ISBLANK(S10),"",IF(2.8&lt;S10,IF(S10&lt;4.1,VToSoc(S10)/100,"HI"),"LO"))</f>
        <v>0.51653098094503014</v>
      </c>
      <c r="V10" s="9" t="str">
        <f>"6.01"</f>
        <v>6.01</v>
      </c>
      <c r="W10" s="28">
        <v>3.69</v>
      </c>
      <c r="X10" s="12" cm="1">
        <f t="array" ref="X10">IF(ISBLANK(W10),"",IF(2.8&lt;W10,IF(W10&lt;4.1,VToSoc(W10)/100,"HI"),"LO"))</f>
        <v>0.52724083943820266</v>
      </c>
      <c r="Z10" s="9" t="str">
        <f>"7.01"</f>
        <v>7.01</v>
      </c>
      <c r="AA10" s="28">
        <v>3.68</v>
      </c>
      <c r="AB10" s="12" cm="1">
        <f t="array" ref="AB10">IF(ISBLANK(AA10),"",IF(2.8&lt;AA10,IF(AA10&lt;4.1,VToSoc(AA10)/100,"HI"),"LO"))</f>
        <v>0.51653098094503014</v>
      </c>
    </row>
    <row r="11" spans="2:28">
      <c r="B11" s="10" t="str">
        <f>TEXT(_xlfn.NUMBERVALUE(B10)+0.01,"0.00")</f>
        <v>1.02</v>
      </c>
      <c r="C11" s="29">
        <v>3.69</v>
      </c>
      <c r="D11" s="13" cm="1">
        <f t="array" ref="D11">IF(ISBLANK(C11),"",IF(2.8&lt;C11,IF(C11&lt;4.1,VToSoc(C11)/100,"HI"),"LO"))</f>
        <v>0.52724083943820266</v>
      </c>
      <c r="F11" s="10" t="str">
        <f t="shared" ref="F11:F25" si="0">TEXT(_xlfn.NUMBERVALUE(F10)+0.01,"0.00")</f>
        <v>2.02</v>
      </c>
      <c r="G11" s="29">
        <v>3.68</v>
      </c>
      <c r="H11" s="13" cm="1">
        <f t="array" ref="H11">IF(ISBLANK(G11),"",IF(2.8&lt;G11,IF(G11&lt;4.1,VToSoc(G11)/100,"HI"),"LO"))</f>
        <v>0.51653098094503014</v>
      </c>
      <c r="J11" s="10" t="str">
        <f t="shared" ref="J11:J25" si="1">TEXT(_xlfn.NUMBERVALUE(J10)+0.01,"0.00")</f>
        <v>3.02</v>
      </c>
      <c r="K11" s="29">
        <v>3.68</v>
      </c>
      <c r="L11" s="13" cm="1">
        <f t="array" ref="L11">IF(ISBLANK(K11),"",IF(2.8&lt;K11,IF(K11&lt;4.1,VToSoc(K11)/100,"HI"),"LO"))</f>
        <v>0.51653098094503014</v>
      </c>
      <c r="N11" s="10" t="str">
        <f t="shared" ref="N11:N25" si="2">TEXT(_xlfn.NUMBERVALUE(N10)+0.01,"0.00")</f>
        <v>4.02</v>
      </c>
      <c r="O11" s="29">
        <v>3.67</v>
      </c>
      <c r="P11" s="13" cm="1">
        <f t="array" ref="P11">IF(ISBLANK(O11),"",IF(2.8&lt;O11,IF(O11&lt;4.1,VToSoc(O11)/100,"HI"),"LO"))</f>
        <v>0.5060427249135957</v>
      </c>
      <c r="R11" s="10" t="str">
        <f t="shared" ref="R11:R25" si="3">TEXT(_xlfn.NUMBERVALUE(R10)+0.01,"0.00")</f>
        <v>5.02</v>
      </c>
      <c r="S11" s="29">
        <v>3.68</v>
      </c>
      <c r="T11" s="13" cm="1">
        <f t="array" ref="T11">IF(ISBLANK(S11),"",IF(2.8&lt;S11,IF(S11&lt;4.1,VToSoc(S11)/100,"HI"),"LO"))</f>
        <v>0.51653098094503014</v>
      </c>
      <c r="V11" s="10" t="str">
        <f t="shared" ref="V11:V25" si="4">TEXT(_xlfn.NUMBERVALUE(V10)+0.01,"0.00")</f>
        <v>6.02</v>
      </c>
      <c r="W11" s="29">
        <v>3.69</v>
      </c>
      <c r="X11" s="13" cm="1">
        <f t="array" ref="X11">IF(ISBLANK(W11),"",IF(2.8&lt;W11,IF(W11&lt;4.1,VToSoc(W11)/100,"HI"),"LO"))</f>
        <v>0.52724083943820266</v>
      </c>
      <c r="Z11" s="10" t="str">
        <f t="shared" ref="Z11:Z25" si="5">TEXT(_xlfn.NUMBERVALUE(Z10)+0.01,"0.00")</f>
        <v>7.02</v>
      </c>
      <c r="AA11" s="29">
        <v>3.68</v>
      </c>
      <c r="AB11" s="13" cm="1">
        <f t="array" ref="AB11">IF(ISBLANK(AA11),"",IF(2.8&lt;AA11,IF(AA11&lt;4.1,VToSoc(AA11)/100,"HI"),"LO"))</f>
        <v>0.51653098094503014</v>
      </c>
    </row>
    <row r="12" spans="2:28">
      <c r="B12" s="9" t="str">
        <f t="shared" ref="B12:B25" si="6">TEXT(_xlfn.NUMBERVALUE(B11)+0.01,"0.00")</f>
        <v>1.03</v>
      </c>
      <c r="C12" s="28">
        <v>3.68</v>
      </c>
      <c r="D12" s="12" cm="1">
        <f t="array" ref="D12">IF(ISBLANK(C12),"",IF(2.8&lt;C12,IF(C12&lt;4.1,VToSoc(C12)/100,"HI"),"LO"))</f>
        <v>0.51653098094503014</v>
      </c>
      <c r="F12" s="9" t="str">
        <f t="shared" si="0"/>
        <v>2.03</v>
      </c>
      <c r="G12" s="28">
        <v>3.68</v>
      </c>
      <c r="H12" s="12" cm="1">
        <f t="array" ref="H12">IF(ISBLANK(G12),"",IF(2.8&lt;G12,IF(G12&lt;4.1,VToSoc(G12)/100,"HI"),"LO"))</f>
        <v>0.51653098094503014</v>
      </c>
      <c r="J12" s="9" t="str">
        <f t="shared" si="1"/>
        <v>3.03</v>
      </c>
      <c r="K12" s="28">
        <v>3.68</v>
      </c>
      <c r="L12" s="12" cm="1">
        <f t="array" ref="L12">IF(ISBLANK(K12),"",IF(2.8&lt;K12,IF(K12&lt;4.1,VToSoc(K12)/100,"HI"),"LO"))</f>
        <v>0.51653098094503014</v>
      </c>
      <c r="N12" s="9" t="str">
        <f t="shared" si="2"/>
        <v>4.03</v>
      </c>
      <c r="O12" s="28">
        <v>3.67</v>
      </c>
      <c r="P12" s="12" cm="1">
        <f t="array" ref="P12">IF(ISBLANK(O12),"",IF(2.8&lt;O12,IF(O12&lt;4.1,VToSoc(O12)/100,"HI"),"LO"))</f>
        <v>0.5060427249135957</v>
      </c>
      <c r="R12" s="9" t="str">
        <f t="shared" si="3"/>
        <v>5.03</v>
      </c>
      <c r="S12" s="28">
        <v>3.68</v>
      </c>
      <c r="T12" s="12" cm="1">
        <f t="array" ref="T12">IF(ISBLANK(S12),"",IF(2.8&lt;S12,IF(S12&lt;4.1,VToSoc(S12)/100,"HI"),"LO"))</f>
        <v>0.51653098094503014</v>
      </c>
      <c r="V12" s="9" t="str">
        <f t="shared" si="4"/>
        <v>6.03</v>
      </c>
      <c r="W12" s="28">
        <v>3.69</v>
      </c>
      <c r="X12" s="12" cm="1">
        <f t="array" ref="X12">IF(ISBLANK(W12),"",IF(2.8&lt;W12,IF(W12&lt;4.1,VToSoc(W12)/100,"HI"),"LO"))</f>
        <v>0.52724083943820266</v>
      </c>
      <c r="Z12" s="9" t="str">
        <f t="shared" si="5"/>
        <v>7.03</v>
      </c>
      <c r="AA12" s="28">
        <v>3.68</v>
      </c>
      <c r="AB12" s="12" cm="1">
        <f t="array" ref="AB12">IF(ISBLANK(AA12),"",IF(2.8&lt;AA12,IF(AA12&lt;4.1,VToSoc(AA12)/100,"HI"),"LO"))</f>
        <v>0.51653098094503014</v>
      </c>
    </row>
    <row r="13" spans="2:28">
      <c r="B13" s="10" t="str">
        <f t="shared" si="6"/>
        <v>1.04</v>
      </c>
      <c r="C13" s="29">
        <v>3.69</v>
      </c>
      <c r="D13" s="13" cm="1">
        <f t="array" ref="D13">IF(ISBLANK(C13),"",IF(2.8&lt;C13,IF(C13&lt;4.1,VToSoc(C13)/100,"HI"),"LO"))</f>
        <v>0.52724083943820266</v>
      </c>
      <c r="F13" s="10" t="str">
        <f t="shared" si="0"/>
        <v>2.04</v>
      </c>
      <c r="G13" s="29">
        <v>3.68</v>
      </c>
      <c r="H13" s="13" cm="1">
        <f t="array" ref="H13">IF(ISBLANK(G13),"",IF(2.8&lt;G13,IF(G13&lt;4.1,VToSoc(G13)/100,"HI"),"LO"))</f>
        <v>0.51653098094503014</v>
      </c>
      <c r="J13" s="10" t="str">
        <f t="shared" si="1"/>
        <v>3.04</v>
      </c>
      <c r="K13" s="29">
        <v>3.68</v>
      </c>
      <c r="L13" s="13" cm="1">
        <f t="array" ref="L13">IF(ISBLANK(K13),"",IF(2.8&lt;K13,IF(K13&lt;4.1,VToSoc(K13)/100,"HI"),"LO"))</f>
        <v>0.51653098094503014</v>
      </c>
      <c r="N13" s="10" t="str">
        <f t="shared" si="2"/>
        <v>4.04</v>
      </c>
      <c r="O13" s="29">
        <v>3.67</v>
      </c>
      <c r="P13" s="13" cm="1">
        <f t="array" ref="P13">IF(ISBLANK(O13),"",IF(2.8&lt;O13,IF(O13&lt;4.1,VToSoc(O13)/100,"HI"),"LO"))</f>
        <v>0.5060427249135957</v>
      </c>
      <c r="R13" s="10" t="str">
        <f t="shared" si="3"/>
        <v>5.04</v>
      </c>
      <c r="S13" s="29">
        <v>3.68</v>
      </c>
      <c r="T13" s="13" cm="1">
        <f t="array" ref="T13">IF(ISBLANK(S13),"",IF(2.8&lt;S13,IF(S13&lt;4.1,VToSoc(S13)/100,"HI"),"LO"))</f>
        <v>0.51653098094503014</v>
      </c>
      <c r="V13" s="10" t="str">
        <f t="shared" si="4"/>
        <v>6.04</v>
      </c>
      <c r="W13" s="29">
        <v>3.69</v>
      </c>
      <c r="X13" s="13" cm="1">
        <f t="array" ref="X13">IF(ISBLANK(W13),"",IF(2.8&lt;W13,IF(W13&lt;4.1,VToSoc(W13)/100,"HI"),"LO"))</f>
        <v>0.52724083943820266</v>
      </c>
      <c r="Z13" s="10" t="str">
        <f t="shared" si="5"/>
        <v>7.04</v>
      </c>
      <c r="AA13" s="29">
        <v>3.68</v>
      </c>
      <c r="AB13" s="13" cm="1">
        <f t="array" ref="AB13">IF(ISBLANK(AA13),"",IF(2.8&lt;AA13,IF(AA13&lt;4.1,VToSoc(AA13)/100,"HI"),"LO"))</f>
        <v>0.51653098094503014</v>
      </c>
    </row>
    <row r="14" spans="2:28">
      <c r="B14" s="9" t="str">
        <f t="shared" si="6"/>
        <v>1.05</v>
      </c>
      <c r="C14" s="28">
        <v>3.68</v>
      </c>
      <c r="D14" s="12" cm="1">
        <f t="array" ref="D14">IF(ISBLANK(C14),"",IF(2.8&lt;C14,IF(C14&lt;4.1,VToSoc(C14)/100,"HI"),"LO"))</f>
        <v>0.51653098094503014</v>
      </c>
      <c r="F14" s="9" t="str">
        <f t="shared" si="0"/>
        <v>2.05</v>
      </c>
      <c r="G14" s="28">
        <v>3.68</v>
      </c>
      <c r="H14" s="12" cm="1">
        <f t="array" ref="H14">IF(ISBLANK(G14),"",IF(2.8&lt;G14,IF(G14&lt;4.1,VToSoc(G14)/100,"HI"),"LO"))</f>
        <v>0.51653098094503014</v>
      </c>
      <c r="J14" s="9" t="str">
        <f t="shared" si="1"/>
        <v>3.05</v>
      </c>
      <c r="K14" s="28">
        <v>3.68</v>
      </c>
      <c r="L14" s="12" cm="1">
        <f t="array" ref="L14">IF(ISBLANK(K14),"",IF(2.8&lt;K14,IF(K14&lt;4.1,VToSoc(K14)/100,"HI"),"LO"))</f>
        <v>0.51653098094503014</v>
      </c>
      <c r="N14" s="9" t="str">
        <f t="shared" si="2"/>
        <v>4.05</v>
      </c>
      <c r="O14" s="28">
        <v>3.67</v>
      </c>
      <c r="P14" s="12" cm="1">
        <f t="array" ref="P14">IF(ISBLANK(O14),"",IF(2.8&lt;O14,IF(O14&lt;4.1,VToSoc(O14)/100,"HI"),"LO"))</f>
        <v>0.5060427249135957</v>
      </c>
      <c r="R14" s="9" t="str">
        <f t="shared" si="3"/>
        <v>5.05</v>
      </c>
      <c r="S14" s="28">
        <v>3.68</v>
      </c>
      <c r="T14" s="12" cm="1">
        <f t="array" ref="T14">IF(ISBLANK(S14),"",IF(2.8&lt;S14,IF(S14&lt;4.1,VToSoc(S14)/100,"HI"),"LO"))</f>
        <v>0.51653098094503014</v>
      </c>
      <c r="V14" s="9" t="str">
        <f t="shared" si="4"/>
        <v>6.05</v>
      </c>
      <c r="W14" s="28">
        <v>3.69</v>
      </c>
      <c r="X14" s="12" cm="1">
        <f t="array" ref="X14">IF(ISBLANK(W14),"",IF(2.8&lt;W14,IF(W14&lt;4.1,VToSoc(W14)/100,"HI"),"LO"))</f>
        <v>0.52724083943820266</v>
      </c>
      <c r="Z14" s="9" t="str">
        <f t="shared" si="5"/>
        <v>7.05</v>
      </c>
      <c r="AA14" s="28">
        <v>3.68</v>
      </c>
      <c r="AB14" s="12" cm="1">
        <f t="array" ref="AB14">IF(ISBLANK(AA14),"",IF(2.8&lt;AA14,IF(AA14&lt;4.1,VToSoc(AA14)/100,"HI"),"LO"))</f>
        <v>0.51653098094503014</v>
      </c>
    </row>
    <row r="15" spans="2:28">
      <c r="B15" s="10" t="str">
        <f t="shared" si="6"/>
        <v>1.06</v>
      </c>
      <c r="C15" s="29">
        <v>3.68</v>
      </c>
      <c r="D15" s="13" cm="1">
        <f t="array" ref="D15">IF(ISBLANK(C15),"",IF(2.8&lt;C15,IF(C15&lt;4.1,VToSoc(C15)/100,"HI"),"LO"))</f>
        <v>0.51653098094503014</v>
      </c>
      <c r="F15" s="10" t="str">
        <f t="shared" si="0"/>
        <v>2.06</v>
      </c>
      <c r="G15" s="29">
        <v>3.68</v>
      </c>
      <c r="H15" s="13" cm="1">
        <f t="array" ref="H15">IF(ISBLANK(G15),"",IF(2.8&lt;G15,IF(G15&lt;4.1,VToSoc(G15)/100,"HI"),"LO"))</f>
        <v>0.51653098094503014</v>
      </c>
      <c r="J15" s="10" t="str">
        <f t="shared" si="1"/>
        <v>3.06</v>
      </c>
      <c r="K15" s="29">
        <v>3.68</v>
      </c>
      <c r="L15" s="13" cm="1">
        <f t="array" ref="L15">IF(ISBLANK(K15),"",IF(2.8&lt;K15,IF(K15&lt;4.1,VToSoc(K15)/100,"HI"),"LO"))</f>
        <v>0.51653098094503014</v>
      </c>
      <c r="N15" s="10" t="str">
        <f t="shared" si="2"/>
        <v>4.06</v>
      </c>
      <c r="O15" s="29">
        <v>3.67</v>
      </c>
      <c r="P15" s="13" cm="1">
        <f t="array" ref="P15">IF(ISBLANK(O15),"",IF(2.8&lt;O15,IF(O15&lt;4.1,VToSoc(O15)/100,"HI"),"LO"))</f>
        <v>0.5060427249135957</v>
      </c>
      <c r="R15" s="10" t="str">
        <f t="shared" si="3"/>
        <v>5.06</v>
      </c>
      <c r="S15" s="29">
        <v>3.68</v>
      </c>
      <c r="T15" s="13" cm="1">
        <f t="array" ref="T15">IF(ISBLANK(S15),"",IF(2.8&lt;S15,IF(S15&lt;4.1,VToSoc(S15)/100,"HI"),"LO"))</f>
        <v>0.51653098094503014</v>
      </c>
      <c r="V15" s="10" t="str">
        <f t="shared" si="4"/>
        <v>6.06</v>
      </c>
      <c r="W15" s="29">
        <v>3.69</v>
      </c>
      <c r="X15" s="13" cm="1">
        <f t="array" ref="X15">IF(ISBLANK(W15),"",IF(2.8&lt;W15,IF(W15&lt;4.1,VToSoc(W15)/100,"HI"),"LO"))</f>
        <v>0.52724083943820266</v>
      </c>
      <c r="Z15" s="10" t="str">
        <f t="shared" si="5"/>
        <v>7.06</v>
      </c>
      <c r="AA15" s="29">
        <v>3.68</v>
      </c>
      <c r="AB15" s="13" cm="1">
        <f t="array" ref="AB15">IF(ISBLANK(AA15),"",IF(2.8&lt;AA15,IF(AA15&lt;4.1,VToSoc(AA15)/100,"HI"),"LO"))</f>
        <v>0.51653098094503014</v>
      </c>
    </row>
    <row r="16" spans="2:28">
      <c r="B16" s="9" t="str">
        <f t="shared" si="6"/>
        <v>1.07</v>
      </c>
      <c r="C16" s="28">
        <v>3.68</v>
      </c>
      <c r="D16" s="12" cm="1">
        <f t="array" ref="D16">IF(ISBLANK(C16),"",IF(2.8&lt;C16,IF(C16&lt;4.1,VToSoc(C16)/100,"HI"),"LO"))</f>
        <v>0.51653098094503014</v>
      </c>
      <c r="F16" s="9" t="str">
        <f t="shared" si="0"/>
        <v>2.07</v>
      </c>
      <c r="G16" s="28">
        <v>3.68</v>
      </c>
      <c r="H16" s="12" cm="1">
        <f t="array" ref="H16">IF(ISBLANK(G16),"",IF(2.8&lt;G16,IF(G16&lt;4.1,VToSoc(G16)/100,"HI"),"LO"))</f>
        <v>0.51653098094503014</v>
      </c>
      <c r="J16" s="9" t="str">
        <f t="shared" si="1"/>
        <v>3.07</v>
      </c>
      <c r="K16" s="28">
        <v>3.68</v>
      </c>
      <c r="L16" s="12" cm="1">
        <f t="array" ref="L16">IF(ISBLANK(K16),"",IF(2.8&lt;K16,IF(K16&lt;4.1,VToSoc(K16)/100,"HI"),"LO"))</f>
        <v>0.51653098094503014</v>
      </c>
      <c r="N16" s="9" t="str">
        <f t="shared" si="2"/>
        <v>4.07</v>
      </c>
      <c r="O16" s="28">
        <v>3.67</v>
      </c>
      <c r="P16" s="12" cm="1">
        <f t="array" ref="P16">IF(ISBLANK(O16),"",IF(2.8&lt;O16,IF(O16&lt;4.1,VToSoc(O16)/100,"HI"),"LO"))</f>
        <v>0.5060427249135957</v>
      </c>
      <c r="R16" s="9" t="str">
        <f t="shared" si="3"/>
        <v>5.07</v>
      </c>
      <c r="S16" s="28">
        <v>3.68</v>
      </c>
      <c r="T16" s="12" cm="1">
        <f t="array" ref="T16">IF(ISBLANK(S16),"",IF(2.8&lt;S16,IF(S16&lt;4.1,VToSoc(S16)/100,"HI"),"LO"))</f>
        <v>0.51653098094503014</v>
      </c>
      <c r="V16" s="9" t="str">
        <f t="shared" si="4"/>
        <v>6.07</v>
      </c>
      <c r="W16" s="28">
        <v>3.69</v>
      </c>
      <c r="X16" s="12" cm="1">
        <f t="array" ref="X16">IF(ISBLANK(W16),"",IF(2.8&lt;W16,IF(W16&lt;4.1,VToSoc(W16)/100,"HI"),"LO"))</f>
        <v>0.52724083943820266</v>
      </c>
      <c r="Z16" s="9" t="str">
        <f t="shared" si="5"/>
        <v>7.07</v>
      </c>
      <c r="AA16" s="28">
        <v>3.68</v>
      </c>
      <c r="AB16" s="12" cm="1">
        <f t="array" ref="AB16">IF(ISBLANK(AA16),"",IF(2.8&lt;AA16,IF(AA16&lt;4.1,VToSoc(AA16)/100,"HI"),"LO"))</f>
        <v>0.51653098094503014</v>
      </c>
    </row>
    <row r="17" spans="2:28">
      <c r="B17" s="10" t="str">
        <f t="shared" si="6"/>
        <v>1.08</v>
      </c>
      <c r="C17" s="29">
        <v>3.68</v>
      </c>
      <c r="D17" s="13" cm="1">
        <f t="array" ref="D17">IF(ISBLANK(C17),"",IF(2.8&lt;C17,IF(C17&lt;4.1,VToSoc(C17)/100,"HI"),"LO"))</f>
        <v>0.51653098094503014</v>
      </c>
      <c r="F17" s="10" t="str">
        <f t="shared" si="0"/>
        <v>2.08</v>
      </c>
      <c r="G17" s="29">
        <v>3.68</v>
      </c>
      <c r="H17" s="13" cm="1">
        <f t="array" ref="H17">IF(ISBLANK(G17),"",IF(2.8&lt;G17,IF(G17&lt;4.1,VToSoc(G17)/100,"HI"),"LO"))</f>
        <v>0.51653098094503014</v>
      </c>
      <c r="J17" s="10" t="str">
        <f t="shared" si="1"/>
        <v>3.08</v>
      </c>
      <c r="K17" s="29">
        <v>3.68</v>
      </c>
      <c r="L17" s="13" cm="1">
        <f t="array" ref="L17">IF(ISBLANK(K17),"",IF(2.8&lt;K17,IF(K17&lt;4.1,VToSoc(K17)/100,"HI"),"LO"))</f>
        <v>0.51653098094503014</v>
      </c>
      <c r="N17" s="10" t="str">
        <f t="shared" si="2"/>
        <v>4.08</v>
      </c>
      <c r="O17" s="29">
        <v>3.67</v>
      </c>
      <c r="P17" s="13" cm="1">
        <f t="array" ref="P17">IF(ISBLANK(O17),"",IF(2.8&lt;O17,IF(O17&lt;4.1,VToSoc(O17)/100,"HI"),"LO"))</f>
        <v>0.5060427249135957</v>
      </c>
      <c r="R17" s="10" t="str">
        <f t="shared" si="3"/>
        <v>5.08</v>
      </c>
      <c r="S17" s="29">
        <v>3.68</v>
      </c>
      <c r="T17" s="13" cm="1">
        <f t="array" ref="T17">IF(ISBLANK(S17),"",IF(2.8&lt;S17,IF(S17&lt;4.1,VToSoc(S17)/100,"HI"),"LO"))</f>
        <v>0.51653098094503014</v>
      </c>
      <c r="V17" s="10" t="str">
        <f t="shared" si="4"/>
        <v>6.08</v>
      </c>
      <c r="W17" s="29">
        <v>3.69</v>
      </c>
      <c r="X17" s="13" cm="1">
        <f t="array" ref="X17">IF(ISBLANK(W17),"",IF(2.8&lt;W17,IF(W17&lt;4.1,VToSoc(W17)/100,"HI"),"LO"))</f>
        <v>0.52724083943820266</v>
      </c>
      <c r="Z17" s="10" t="str">
        <f t="shared" si="5"/>
        <v>7.08</v>
      </c>
      <c r="AA17" s="29">
        <v>3.68</v>
      </c>
      <c r="AB17" s="13" cm="1">
        <f t="array" ref="AB17">IF(ISBLANK(AA17),"",IF(2.8&lt;AA17,IF(AA17&lt;4.1,VToSoc(AA17)/100,"HI"),"LO"))</f>
        <v>0.51653098094503014</v>
      </c>
    </row>
    <row r="18" spans="2:28">
      <c r="B18" s="9" t="str">
        <f t="shared" si="6"/>
        <v>1.09</v>
      </c>
      <c r="C18" s="28">
        <v>3.68</v>
      </c>
      <c r="D18" s="12" cm="1">
        <f t="array" ref="D18">IF(ISBLANK(C18),"",IF(2.8&lt;C18,IF(C18&lt;4.1,VToSoc(C18)/100,"HI"),"LO"))</f>
        <v>0.51653098094503014</v>
      </c>
      <c r="F18" s="9" t="str">
        <f t="shared" si="0"/>
        <v>2.09</v>
      </c>
      <c r="G18" s="28">
        <v>3.68</v>
      </c>
      <c r="H18" s="12" cm="1">
        <f t="array" ref="H18">IF(ISBLANK(G18),"",IF(2.8&lt;G18,IF(G18&lt;4.1,VToSoc(G18)/100,"HI"),"LO"))</f>
        <v>0.51653098094503014</v>
      </c>
      <c r="J18" s="9" t="str">
        <f t="shared" si="1"/>
        <v>3.09</v>
      </c>
      <c r="K18" s="28">
        <v>3.68</v>
      </c>
      <c r="L18" s="12" cm="1">
        <f t="array" ref="L18">IF(ISBLANK(K18),"",IF(2.8&lt;K18,IF(K18&lt;4.1,VToSoc(K18)/100,"HI"),"LO"))</f>
        <v>0.51653098094503014</v>
      </c>
      <c r="N18" s="9" t="str">
        <f t="shared" si="2"/>
        <v>4.09</v>
      </c>
      <c r="O18" s="28">
        <v>3.67</v>
      </c>
      <c r="P18" s="12" cm="1">
        <f t="array" ref="P18">IF(ISBLANK(O18),"",IF(2.8&lt;O18,IF(O18&lt;4.1,VToSoc(O18)/100,"HI"),"LO"))</f>
        <v>0.5060427249135957</v>
      </c>
      <c r="R18" s="9" t="str">
        <f t="shared" si="3"/>
        <v>5.09</v>
      </c>
      <c r="S18" s="28">
        <v>3.68</v>
      </c>
      <c r="T18" s="12" cm="1">
        <f t="array" ref="T18">IF(ISBLANK(S18),"",IF(2.8&lt;S18,IF(S18&lt;4.1,VToSoc(S18)/100,"HI"),"LO"))</f>
        <v>0.51653098094503014</v>
      </c>
      <c r="V18" s="9" t="str">
        <f t="shared" si="4"/>
        <v>6.09</v>
      </c>
      <c r="W18" s="28">
        <v>3.69</v>
      </c>
      <c r="X18" s="12" cm="1">
        <f t="array" ref="X18">IF(ISBLANK(W18),"",IF(2.8&lt;W18,IF(W18&lt;4.1,VToSoc(W18)/100,"HI"),"LO"))</f>
        <v>0.52724083943820266</v>
      </c>
      <c r="Z18" s="9" t="str">
        <f t="shared" si="5"/>
        <v>7.09</v>
      </c>
      <c r="AA18" s="28">
        <v>3.68</v>
      </c>
      <c r="AB18" s="12" cm="1">
        <f t="array" ref="AB18">IF(ISBLANK(AA18),"",IF(2.8&lt;AA18,IF(AA18&lt;4.1,VToSoc(AA18)/100,"HI"),"LO"))</f>
        <v>0.51653098094503014</v>
      </c>
    </row>
    <row r="19" spans="2:28">
      <c r="B19" s="10" t="str">
        <f t="shared" si="6"/>
        <v>1.10</v>
      </c>
      <c r="C19" s="29">
        <v>3.68</v>
      </c>
      <c r="D19" s="13" cm="1">
        <f t="array" ref="D19">IF(ISBLANK(C19),"",IF(2.8&lt;C19,IF(C19&lt;4.1,VToSoc(C19)/100,"HI"),"LO"))</f>
        <v>0.51653098094503014</v>
      </c>
      <c r="F19" s="10" t="str">
        <f t="shared" si="0"/>
        <v>2.10</v>
      </c>
      <c r="G19" s="29">
        <v>3.68</v>
      </c>
      <c r="H19" s="13" cm="1">
        <f t="array" ref="H19">IF(ISBLANK(G19),"",IF(2.8&lt;G19,IF(G19&lt;4.1,VToSoc(G19)/100,"HI"),"LO"))</f>
        <v>0.51653098094503014</v>
      </c>
      <c r="J19" s="10" t="str">
        <f t="shared" si="1"/>
        <v>3.10</v>
      </c>
      <c r="K19" s="29">
        <v>3.68</v>
      </c>
      <c r="L19" s="13" cm="1">
        <f t="array" ref="L19">IF(ISBLANK(K19),"",IF(2.8&lt;K19,IF(K19&lt;4.1,VToSoc(K19)/100,"HI"),"LO"))</f>
        <v>0.51653098094503014</v>
      </c>
      <c r="N19" s="10" t="str">
        <f t="shared" si="2"/>
        <v>4.10</v>
      </c>
      <c r="O19" s="29">
        <v>3.67</v>
      </c>
      <c r="P19" s="13" cm="1">
        <f t="array" ref="P19">IF(ISBLANK(O19),"",IF(2.8&lt;O19,IF(O19&lt;4.1,VToSoc(O19)/100,"HI"),"LO"))</f>
        <v>0.5060427249135957</v>
      </c>
      <c r="R19" s="10" t="str">
        <f t="shared" si="3"/>
        <v>5.10</v>
      </c>
      <c r="S19" s="29">
        <v>3.68</v>
      </c>
      <c r="T19" s="13" cm="1">
        <f t="array" ref="T19">IF(ISBLANK(S19),"",IF(2.8&lt;S19,IF(S19&lt;4.1,VToSoc(S19)/100,"HI"),"LO"))</f>
        <v>0.51653098094503014</v>
      </c>
      <c r="V19" s="10" t="str">
        <f t="shared" si="4"/>
        <v>6.10</v>
      </c>
      <c r="W19" s="29">
        <v>3.69</v>
      </c>
      <c r="X19" s="13" cm="1">
        <f t="array" ref="X19">IF(ISBLANK(W19),"",IF(2.8&lt;W19,IF(W19&lt;4.1,VToSoc(W19)/100,"HI"),"LO"))</f>
        <v>0.52724083943820266</v>
      </c>
      <c r="Z19" s="10" t="str">
        <f t="shared" si="5"/>
        <v>7.10</v>
      </c>
      <c r="AA19" s="29">
        <v>3.68</v>
      </c>
      <c r="AB19" s="13" cm="1">
        <f t="array" ref="AB19">IF(ISBLANK(AA19),"",IF(2.8&lt;AA19,IF(AA19&lt;4.1,VToSoc(AA19)/100,"HI"),"LO"))</f>
        <v>0.51653098094503014</v>
      </c>
    </row>
    <row r="20" spans="2:28">
      <c r="B20" s="9" t="str">
        <f t="shared" si="6"/>
        <v>1.11</v>
      </c>
      <c r="C20" s="28">
        <v>3.69</v>
      </c>
      <c r="D20" s="12" cm="1">
        <f t="array" ref="D20">IF(ISBLANK(C20),"",IF(2.8&lt;C20,IF(C20&lt;4.1,VToSoc(C20)/100,"HI"),"LO"))</f>
        <v>0.52724083943820266</v>
      </c>
      <c r="F20" s="9" t="str">
        <f t="shared" si="0"/>
        <v>2.11</v>
      </c>
      <c r="G20" s="28">
        <v>3.68</v>
      </c>
      <c r="H20" s="12" cm="1">
        <f t="array" ref="H20">IF(ISBLANK(G20),"",IF(2.8&lt;G20,IF(G20&lt;4.1,VToSoc(G20)/100,"HI"),"LO"))</f>
        <v>0.51653098094503014</v>
      </c>
      <c r="J20" s="9" t="str">
        <f t="shared" si="1"/>
        <v>3.11</v>
      </c>
      <c r="K20" s="28">
        <v>3.68</v>
      </c>
      <c r="L20" s="12" cm="1">
        <f t="array" ref="L20">IF(ISBLANK(K20),"",IF(2.8&lt;K20,IF(K20&lt;4.1,VToSoc(K20)/100,"HI"),"LO"))</f>
        <v>0.51653098094503014</v>
      </c>
      <c r="N20" s="9" t="str">
        <f t="shared" si="2"/>
        <v>4.11</v>
      </c>
      <c r="O20" s="28">
        <v>3.67</v>
      </c>
      <c r="P20" s="12" cm="1">
        <f t="array" ref="P20">IF(ISBLANK(O20),"",IF(2.8&lt;O20,IF(O20&lt;4.1,VToSoc(O20)/100,"HI"),"LO"))</f>
        <v>0.5060427249135957</v>
      </c>
      <c r="R20" s="9" t="str">
        <f t="shared" si="3"/>
        <v>5.11</v>
      </c>
      <c r="S20" s="28">
        <v>3.68</v>
      </c>
      <c r="T20" s="12" cm="1">
        <f t="array" ref="T20">IF(ISBLANK(S20),"",IF(2.8&lt;S20,IF(S20&lt;4.1,VToSoc(S20)/100,"HI"),"LO"))</f>
        <v>0.51653098094503014</v>
      </c>
      <c r="V20" s="9" t="str">
        <f t="shared" si="4"/>
        <v>6.11</v>
      </c>
      <c r="W20" s="28">
        <v>3.69</v>
      </c>
      <c r="X20" s="12" cm="1">
        <f t="array" ref="X20">IF(ISBLANK(W20),"",IF(2.8&lt;W20,IF(W20&lt;4.1,VToSoc(W20)/100,"HI"),"LO"))</f>
        <v>0.52724083943820266</v>
      </c>
      <c r="Z20" s="9" t="str">
        <f t="shared" si="5"/>
        <v>7.11</v>
      </c>
      <c r="AA20" s="28">
        <v>3.68</v>
      </c>
      <c r="AB20" s="12" cm="1">
        <f t="array" ref="AB20">IF(ISBLANK(AA20),"",IF(2.8&lt;AA20,IF(AA20&lt;4.1,VToSoc(AA20)/100,"HI"),"LO"))</f>
        <v>0.51653098094503014</v>
      </c>
    </row>
    <row r="21" spans="2:28">
      <c r="B21" s="10" t="str">
        <f t="shared" si="6"/>
        <v>1.12</v>
      </c>
      <c r="C21" s="29">
        <v>3.68</v>
      </c>
      <c r="D21" s="13" cm="1">
        <f t="array" ref="D21">IF(ISBLANK(C21),"",IF(2.8&lt;C21,IF(C21&lt;4.1,VToSoc(C21)/100,"HI"),"LO"))</f>
        <v>0.51653098094503014</v>
      </c>
      <c r="F21" s="10" t="str">
        <f t="shared" si="0"/>
        <v>2.12</v>
      </c>
      <c r="G21" s="29">
        <v>3.68</v>
      </c>
      <c r="H21" s="13" cm="1">
        <f t="array" ref="H21">IF(ISBLANK(G21),"",IF(2.8&lt;G21,IF(G21&lt;4.1,VToSoc(G21)/100,"HI"),"LO"))</f>
        <v>0.51653098094503014</v>
      </c>
      <c r="J21" s="10" t="str">
        <f t="shared" si="1"/>
        <v>3.12</v>
      </c>
      <c r="K21" s="29">
        <v>3.68</v>
      </c>
      <c r="L21" s="13" cm="1">
        <f t="array" ref="L21">IF(ISBLANK(K21),"",IF(2.8&lt;K21,IF(K21&lt;4.1,VToSoc(K21)/100,"HI"),"LO"))</f>
        <v>0.51653098094503014</v>
      </c>
      <c r="N21" s="10" t="str">
        <f t="shared" si="2"/>
        <v>4.12</v>
      </c>
      <c r="O21" s="29">
        <v>3.67</v>
      </c>
      <c r="P21" s="13" cm="1">
        <f t="array" ref="P21">IF(ISBLANK(O21),"",IF(2.8&lt;O21,IF(O21&lt;4.1,VToSoc(O21)/100,"HI"),"LO"))</f>
        <v>0.5060427249135957</v>
      </c>
      <c r="R21" s="10" t="str">
        <f t="shared" si="3"/>
        <v>5.12</v>
      </c>
      <c r="S21" s="29">
        <v>3.68</v>
      </c>
      <c r="T21" s="13" cm="1">
        <f t="array" ref="T21">IF(ISBLANK(S21),"",IF(2.8&lt;S21,IF(S21&lt;4.1,VToSoc(S21)/100,"HI"),"LO"))</f>
        <v>0.51653098094503014</v>
      </c>
      <c r="V21" s="10" t="str">
        <f t="shared" si="4"/>
        <v>6.12</v>
      </c>
      <c r="W21" s="29">
        <v>3.69</v>
      </c>
      <c r="X21" s="13" cm="1">
        <f t="array" ref="X21">IF(ISBLANK(W21),"",IF(2.8&lt;W21,IF(W21&lt;4.1,VToSoc(W21)/100,"HI"),"LO"))</f>
        <v>0.52724083943820266</v>
      </c>
      <c r="Z21" s="10" t="str">
        <f t="shared" si="5"/>
        <v>7.12</v>
      </c>
      <c r="AA21" s="29">
        <v>3.68</v>
      </c>
      <c r="AB21" s="13" cm="1">
        <f t="array" ref="AB21">IF(ISBLANK(AA21),"",IF(2.8&lt;AA21,IF(AA21&lt;4.1,VToSoc(AA21)/100,"HI"),"LO"))</f>
        <v>0.51653098094503014</v>
      </c>
    </row>
    <row r="22" spans="2:28">
      <c r="B22" s="9" t="str">
        <f t="shared" si="6"/>
        <v>1.13</v>
      </c>
      <c r="C22" s="28">
        <v>3.68</v>
      </c>
      <c r="D22" s="12" cm="1">
        <f t="array" ref="D22">IF(ISBLANK(C22),"",IF(2.8&lt;C22,IF(C22&lt;4.1,VToSoc(C22)/100,"HI"),"LO"))</f>
        <v>0.51653098094503014</v>
      </c>
      <c r="F22" s="9" t="str">
        <f t="shared" si="0"/>
        <v>2.13</v>
      </c>
      <c r="G22" s="28">
        <v>3.68</v>
      </c>
      <c r="H22" s="12" cm="1">
        <f t="array" ref="H22">IF(ISBLANK(G22),"",IF(2.8&lt;G22,IF(G22&lt;4.1,VToSoc(G22)/100,"HI"),"LO"))</f>
        <v>0.51653098094503014</v>
      </c>
      <c r="J22" s="9" t="str">
        <f t="shared" si="1"/>
        <v>3.13</v>
      </c>
      <c r="K22" s="28">
        <v>3.68</v>
      </c>
      <c r="L22" s="12" cm="1">
        <f t="array" ref="L22">IF(ISBLANK(K22),"",IF(2.8&lt;K22,IF(K22&lt;4.1,VToSoc(K22)/100,"HI"),"LO"))</f>
        <v>0.51653098094503014</v>
      </c>
      <c r="N22" s="9" t="str">
        <f t="shared" si="2"/>
        <v>4.13</v>
      </c>
      <c r="O22" s="28">
        <v>3.67</v>
      </c>
      <c r="P22" s="12" cm="1">
        <f t="array" ref="P22">IF(ISBLANK(O22),"",IF(2.8&lt;O22,IF(O22&lt;4.1,VToSoc(O22)/100,"HI"),"LO"))</f>
        <v>0.5060427249135957</v>
      </c>
      <c r="R22" s="9" t="str">
        <f t="shared" si="3"/>
        <v>5.13</v>
      </c>
      <c r="S22" s="28">
        <v>3.68</v>
      </c>
      <c r="T22" s="12" cm="1">
        <f t="array" ref="T22">IF(ISBLANK(S22),"",IF(2.8&lt;S22,IF(S22&lt;4.1,VToSoc(S22)/100,"HI"),"LO"))</f>
        <v>0.51653098094503014</v>
      </c>
      <c r="V22" s="9" t="str">
        <f t="shared" si="4"/>
        <v>6.13</v>
      </c>
      <c r="W22" s="28">
        <v>3.69</v>
      </c>
      <c r="X22" s="12" cm="1">
        <f t="array" ref="X22">IF(ISBLANK(W22),"",IF(2.8&lt;W22,IF(W22&lt;4.1,VToSoc(W22)/100,"HI"),"LO"))</f>
        <v>0.52724083943820266</v>
      </c>
      <c r="Z22" s="9" t="str">
        <f t="shared" si="5"/>
        <v>7.13</v>
      </c>
      <c r="AA22" s="28">
        <v>3.68</v>
      </c>
      <c r="AB22" s="12" cm="1">
        <f t="array" ref="AB22">IF(ISBLANK(AA22),"",IF(2.8&lt;AA22,IF(AA22&lt;4.1,VToSoc(AA22)/100,"HI"),"LO"))</f>
        <v>0.51653098094503014</v>
      </c>
    </row>
    <row r="23" spans="2:28">
      <c r="B23" s="10" t="str">
        <f t="shared" si="6"/>
        <v>1.14</v>
      </c>
      <c r="C23" s="29">
        <v>3.68</v>
      </c>
      <c r="D23" s="13" cm="1">
        <f t="array" ref="D23">IF(ISBLANK(C23),"",IF(2.8&lt;C23,IF(C23&lt;4.1,VToSoc(C23)/100,"HI"),"LO"))</f>
        <v>0.51653098094503014</v>
      </c>
      <c r="F23" s="10" t="str">
        <f t="shared" si="0"/>
        <v>2.14</v>
      </c>
      <c r="G23" s="29">
        <v>3.68</v>
      </c>
      <c r="H23" s="13" cm="1">
        <f t="array" ref="H23">IF(ISBLANK(G23),"",IF(2.8&lt;G23,IF(G23&lt;4.1,VToSoc(G23)/100,"HI"),"LO"))</f>
        <v>0.51653098094503014</v>
      </c>
      <c r="J23" s="10" t="str">
        <f t="shared" si="1"/>
        <v>3.14</v>
      </c>
      <c r="K23" s="29">
        <v>3.68</v>
      </c>
      <c r="L23" s="13" cm="1">
        <f t="array" ref="L23">IF(ISBLANK(K23),"",IF(2.8&lt;K23,IF(K23&lt;4.1,VToSoc(K23)/100,"HI"),"LO"))</f>
        <v>0.51653098094503014</v>
      </c>
      <c r="N23" s="10" t="str">
        <f t="shared" si="2"/>
        <v>4.14</v>
      </c>
      <c r="O23" s="29">
        <v>3.67</v>
      </c>
      <c r="P23" s="13" cm="1">
        <f t="array" ref="P23">IF(ISBLANK(O23),"",IF(2.8&lt;O23,IF(O23&lt;4.1,VToSoc(O23)/100,"HI"),"LO"))</f>
        <v>0.5060427249135957</v>
      </c>
      <c r="R23" s="10" t="str">
        <f t="shared" si="3"/>
        <v>5.14</v>
      </c>
      <c r="S23" s="29">
        <v>3.68</v>
      </c>
      <c r="T23" s="13" cm="1">
        <f t="array" ref="T23">IF(ISBLANK(S23),"",IF(2.8&lt;S23,IF(S23&lt;4.1,VToSoc(S23)/100,"HI"),"LO"))</f>
        <v>0.51653098094503014</v>
      </c>
      <c r="V23" s="10" t="str">
        <f t="shared" si="4"/>
        <v>6.14</v>
      </c>
      <c r="W23" s="29">
        <v>3.69</v>
      </c>
      <c r="X23" s="13" cm="1">
        <f t="array" ref="X23">IF(ISBLANK(W23),"",IF(2.8&lt;W23,IF(W23&lt;4.1,VToSoc(W23)/100,"HI"),"LO"))</f>
        <v>0.52724083943820266</v>
      </c>
      <c r="Z23" s="10" t="str">
        <f t="shared" si="5"/>
        <v>7.14</v>
      </c>
      <c r="AA23" s="29">
        <v>3.68</v>
      </c>
      <c r="AB23" s="13" cm="1">
        <f t="array" ref="AB23">IF(ISBLANK(AA23),"",IF(2.8&lt;AA23,IF(AA23&lt;4.1,VToSoc(AA23)/100,"HI"),"LO"))</f>
        <v>0.51653098094503014</v>
      </c>
    </row>
    <row r="24" spans="2:28">
      <c r="B24" s="9" t="str">
        <f t="shared" si="6"/>
        <v>1.15</v>
      </c>
      <c r="C24" s="28">
        <v>3.68</v>
      </c>
      <c r="D24" s="12" cm="1">
        <f t="array" ref="D24">IF(ISBLANK(C24),"",IF(2.8&lt;C24,IF(C24&lt;4.1,VToSoc(C24)/100,"HI"),"LO"))</f>
        <v>0.51653098094503014</v>
      </c>
      <c r="F24" s="9" t="str">
        <f t="shared" si="0"/>
        <v>2.15</v>
      </c>
      <c r="G24" s="28">
        <v>3.68</v>
      </c>
      <c r="H24" s="12" cm="1">
        <f t="array" ref="H24">IF(ISBLANK(G24),"",IF(2.8&lt;G24,IF(G24&lt;4.1,VToSoc(G24)/100,"HI"),"LO"))</f>
        <v>0.51653098094503014</v>
      </c>
      <c r="J24" s="9" t="str">
        <f t="shared" si="1"/>
        <v>3.15</v>
      </c>
      <c r="K24" s="28">
        <v>3.68</v>
      </c>
      <c r="L24" s="12" cm="1">
        <f t="array" ref="L24">IF(ISBLANK(K24),"",IF(2.8&lt;K24,IF(K24&lt;4.1,VToSoc(K24)/100,"HI"),"LO"))</f>
        <v>0.51653098094503014</v>
      </c>
      <c r="N24" s="9" t="str">
        <f t="shared" si="2"/>
        <v>4.15</v>
      </c>
      <c r="O24" s="28">
        <v>3.67</v>
      </c>
      <c r="P24" s="12" cm="1">
        <f t="array" ref="P24">IF(ISBLANK(O24),"",IF(2.8&lt;O24,IF(O24&lt;4.1,VToSoc(O24)/100,"HI"),"LO"))</f>
        <v>0.5060427249135957</v>
      </c>
      <c r="R24" s="9" t="str">
        <f t="shared" si="3"/>
        <v>5.15</v>
      </c>
      <c r="S24" s="28">
        <v>3.68</v>
      </c>
      <c r="T24" s="12" cm="1">
        <f t="array" ref="T24">IF(ISBLANK(S24),"",IF(2.8&lt;S24,IF(S24&lt;4.1,VToSoc(S24)/100,"HI"),"LO"))</f>
        <v>0.51653098094503014</v>
      </c>
      <c r="V24" s="9" t="str">
        <f t="shared" si="4"/>
        <v>6.15</v>
      </c>
      <c r="W24" s="28">
        <v>3.69</v>
      </c>
      <c r="X24" s="12" cm="1">
        <f t="array" ref="X24">IF(ISBLANK(W24),"",IF(2.8&lt;W24,IF(W24&lt;4.1,VToSoc(W24)/100,"HI"),"LO"))</f>
        <v>0.52724083943820266</v>
      </c>
      <c r="Z24" s="9" t="str">
        <f t="shared" si="5"/>
        <v>7.15</v>
      </c>
      <c r="AA24" s="28">
        <v>3.68</v>
      </c>
      <c r="AB24" s="12" cm="1">
        <f t="array" ref="AB24">IF(ISBLANK(AA24),"",IF(2.8&lt;AA24,IF(AA24&lt;4.1,VToSoc(AA24)/100,"HI"),"LO"))</f>
        <v>0.51653098094503014</v>
      </c>
    </row>
    <row r="25" spans="2:28" ht="15" thickBot="1">
      <c r="B25" s="11" t="str">
        <f t="shared" si="6"/>
        <v>1.16</v>
      </c>
      <c r="C25" s="30">
        <v>3.68</v>
      </c>
      <c r="D25" s="14" cm="1">
        <f t="array" ref="D25">IF(ISBLANK(C25),"",IF(2.8&lt;C25,IF(C25&lt;4.1,VToSoc(C25)/100,"HI"),"LO"))</f>
        <v>0.51653098094503014</v>
      </c>
      <c r="F25" s="11" t="str">
        <f t="shared" si="0"/>
        <v>2.16</v>
      </c>
      <c r="G25" s="30">
        <v>3.68</v>
      </c>
      <c r="H25" s="14" cm="1">
        <f t="array" ref="H25">IF(ISBLANK(G25),"",IF(2.8&lt;G25,IF(G25&lt;4.1,VToSoc(G25)/100,"HI"),"LO"))</f>
        <v>0.51653098094503014</v>
      </c>
      <c r="J25" s="11" t="str">
        <f t="shared" si="1"/>
        <v>3.16</v>
      </c>
      <c r="K25" s="30">
        <v>3.68</v>
      </c>
      <c r="L25" s="14" cm="1">
        <f t="array" ref="L25">IF(ISBLANK(K25),"",IF(2.8&lt;K25,IF(K25&lt;4.1,VToSoc(K25)/100,"HI"),"LO"))</f>
        <v>0.51653098094503014</v>
      </c>
      <c r="N25" s="11" t="str">
        <f t="shared" si="2"/>
        <v>4.16</v>
      </c>
      <c r="O25" s="30">
        <v>3.67</v>
      </c>
      <c r="P25" s="14" cm="1">
        <f t="array" ref="P25">IF(ISBLANK(O25),"",IF(2.8&lt;O25,IF(O25&lt;4.1,VToSoc(O25)/100,"HI"),"LO"))</f>
        <v>0.5060427249135957</v>
      </c>
      <c r="R25" s="11" t="str">
        <f t="shared" si="3"/>
        <v>5.16</v>
      </c>
      <c r="S25" s="30">
        <v>3.68</v>
      </c>
      <c r="T25" s="14" cm="1">
        <f t="array" ref="T25">IF(ISBLANK(S25),"",IF(2.8&lt;S25,IF(S25&lt;4.1,VToSoc(S25)/100,"HI"),"LO"))</f>
        <v>0.51653098094503014</v>
      </c>
      <c r="V25" s="11" t="str">
        <f t="shared" si="4"/>
        <v>6.16</v>
      </c>
      <c r="W25" s="30">
        <v>3.69</v>
      </c>
      <c r="X25" s="14" cm="1">
        <f t="array" ref="X25">IF(ISBLANK(W25),"",IF(2.8&lt;W25,IF(W25&lt;4.1,VToSoc(W25)/100,"HI"),"LO"))</f>
        <v>0.52724083943820266</v>
      </c>
      <c r="Z25" s="11" t="str">
        <f t="shared" si="5"/>
        <v>7.16</v>
      </c>
      <c r="AA25" s="30">
        <v>3.68</v>
      </c>
      <c r="AB25" s="14" cm="1">
        <f t="array" ref="AB25">IF(ISBLANK(AA25),"",IF(2.8&lt;AA25,IF(AA25&lt;4.1,VToSoc(AA25)/100,"HI"),"LO"))</f>
        <v>0.51653098094503014</v>
      </c>
    </row>
    <row r="26" spans="2:28" ht="7.35" customHeight="1" thickBot="1">
      <c r="B26" s="47"/>
      <c r="C26" s="48"/>
      <c r="D26" s="49"/>
      <c r="F26" s="47"/>
      <c r="G26" s="48"/>
      <c r="H26" s="49"/>
      <c r="J26" s="47"/>
      <c r="K26" s="48"/>
      <c r="L26" s="49"/>
      <c r="N26" s="47"/>
      <c r="O26" s="48"/>
      <c r="P26" s="49"/>
      <c r="R26" s="47"/>
      <c r="S26" s="48"/>
      <c r="T26" s="49"/>
      <c r="V26" s="47"/>
      <c r="W26" s="48"/>
      <c r="X26" s="49"/>
      <c r="Z26" s="47"/>
      <c r="AA26" s="48"/>
      <c r="AB26" s="49"/>
    </row>
    <row r="27" spans="2:28">
      <c r="B27" s="50" t="s">
        <v>19</v>
      </c>
      <c r="C27" s="51"/>
      <c r="D27" s="18">
        <f>MIN(D10:D25)</f>
        <v>0.51653098094503014</v>
      </c>
      <c r="F27" s="50" t="s">
        <v>19</v>
      </c>
      <c r="G27" s="51"/>
      <c r="H27" s="18">
        <f>MIN(H10:H25)</f>
        <v>0.51653098094503014</v>
      </c>
      <c r="J27" s="50" t="s">
        <v>19</v>
      </c>
      <c r="K27" s="51"/>
      <c r="L27" s="18">
        <f>MIN(L10:L25)</f>
        <v>0.51653098094503014</v>
      </c>
      <c r="N27" s="50" t="s">
        <v>19</v>
      </c>
      <c r="O27" s="51"/>
      <c r="P27" s="18">
        <f>MIN(P10:P25)</f>
        <v>0.5060427249135957</v>
      </c>
      <c r="R27" s="50" t="s">
        <v>19</v>
      </c>
      <c r="S27" s="51"/>
      <c r="T27" s="18">
        <f>MIN(T10:T25)</f>
        <v>0.51653098094503014</v>
      </c>
      <c r="V27" s="50" t="s">
        <v>19</v>
      </c>
      <c r="W27" s="51"/>
      <c r="X27" s="18">
        <f>MIN(X10:X25)</f>
        <v>0.52724083943820266</v>
      </c>
      <c r="Z27" s="50" t="s">
        <v>19</v>
      </c>
      <c r="AA27" s="51"/>
      <c r="AB27" s="18">
        <f>MIN(AB10:AB25)</f>
        <v>0.51653098094503014</v>
      </c>
    </row>
    <row r="28" spans="2:28">
      <c r="B28" s="46" t="s">
        <v>20</v>
      </c>
      <c r="C28" s="34"/>
      <c r="D28" s="13">
        <f>MAX(D10:D25)</f>
        <v>0.52724083943820266</v>
      </c>
      <c r="F28" s="46" t="s">
        <v>20</v>
      </c>
      <c r="G28" s="34"/>
      <c r="H28" s="13">
        <f>MAX(H10:H25)</f>
        <v>0.51653098094503014</v>
      </c>
      <c r="J28" s="46" t="s">
        <v>20</v>
      </c>
      <c r="K28" s="34"/>
      <c r="L28" s="13">
        <f>MAX(L10:L25)</f>
        <v>0.51653098094503014</v>
      </c>
      <c r="N28" s="46" t="s">
        <v>20</v>
      </c>
      <c r="O28" s="34"/>
      <c r="P28" s="13">
        <f>MAX(P10:P25)</f>
        <v>0.5060427249135957</v>
      </c>
      <c r="R28" s="46" t="s">
        <v>20</v>
      </c>
      <c r="S28" s="34"/>
      <c r="T28" s="13">
        <f>MAX(T10:T25)</f>
        <v>0.51653098094503014</v>
      </c>
      <c r="V28" s="46" t="s">
        <v>20</v>
      </c>
      <c r="W28" s="34"/>
      <c r="X28" s="13">
        <f>MAX(X10:X25)</f>
        <v>0.52724083943820266</v>
      </c>
      <c r="Z28" s="46" t="s">
        <v>20</v>
      </c>
      <c r="AA28" s="34"/>
      <c r="AB28" s="13">
        <f>MAX(AB10:AB25)</f>
        <v>0.51653098094503014</v>
      </c>
    </row>
    <row r="29" spans="2:28" ht="15" thickBot="1">
      <c r="B29" s="52" t="s">
        <v>21</v>
      </c>
      <c r="C29" s="35"/>
      <c r="D29" s="19">
        <f>D28-D27</f>
        <v>1.0709858493172519E-2</v>
      </c>
      <c r="F29" s="52" t="s">
        <v>21</v>
      </c>
      <c r="G29" s="35"/>
      <c r="H29" s="19">
        <f>H28-H27</f>
        <v>0</v>
      </c>
      <c r="J29" s="52" t="s">
        <v>21</v>
      </c>
      <c r="K29" s="35"/>
      <c r="L29" s="19">
        <f>L28-L27</f>
        <v>0</v>
      </c>
      <c r="N29" s="52" t="s">
        <v>21</v>
      </c>
      <c r="O29" s="35"/>
      <c r="P29" s="19">
        <f>P28-P27</f>
        <v>0</v>
      </c>
      <c r="R29" s="52" t="s">
        <v>21</v>
      </c>
      <c r="S29" s="35"/>
      <c r="T29" s="19">
        <f>T28-T27</f>
        <v>0</v>
      </c>
      <c r="V29" s="52" t="s">
        <v>21</v>
      </c>
      <c r="W29" s="35"/>
      <c r="X29" s="19">
        <f>X28-X27</f>
        <v>0</v>
      </c>
      <c r="Z29" s="52" t="s">
        <v>21</v>
      </c>
      <c r="AA29" s="35"/>
      <c r="AB29" s="19">
        <f>AB28-AB27</f>
        <v>0</v>
      </c>
    </row>
    <row r="30" spans="2:28" ht="15" thickBot="1"/>
    <row r="31" spans="2:28">
      <c r="B31" s="53" t="s">
        <v>22</v>
      </c>
      <c r="C31" s="54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7"/>
    </row>
    <row r="32" spans="2:28">
      <c r="B32" s="55" t="s">
        <v>24</v>
      </c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7"/>
    </row>
    <row r="33" spans="2:28">
      <c r="B33" s="55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7"/>
    </row>
    <row r="34" spans="2:28">
      <c r="B34" s="55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7"/>
    </row>
    <row r="35" spans="2:28">
      <c r="B35" s="55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7"/>
    </row>
    <row r="36" spans="2:28">
      <c r="B36" s="55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7"/>
    </row>
    <row r="37" spans="2:28">
      <c r="B37" s="55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7"/>
    </row>
    <row r="38" spans="2:28" ht="15" thickBot="1">
      <c r="B38" s="58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60"/>
    </row>
  </sheetData>
  <mergeCells count="55">
    <mergeCell ref="B31:C31"/>
    <mergeCell ref="B32:AB38"/>
    <mergeCell ref="B2:C2"/>
    <mergeCell ref="D2:F2"/>
    <mergeCell ref="N2:AB2"/>
    <mergeCell ref="B3:C3"/>
    <mergeCell ref="D3:F3"/>
    <mergeCell ref="N3:Q3"/>
    <mergeCell ref="R3:S3"/>
    <mergeCell ref="V3:Y3"/>
    <mergeCell ref="Z3:AA3"/>
    <mergeCell ref="N4:Q4"/>
    <mergeCell ref="R4:S4"/>
    <mergeCell ref="V4:Y4"/>
    <mergeCell ref="Z4:AA4"/>
    <mergeCell ref="B5:L6"/>
    <mergeCell ref="N5:Q5"/>
    <mergeCell ref="R5:S5"/>
    <mergeCell ref="V5:Y5"/>
    <mergeCell ref="Z5:AA5"/>
    <mergeCell ref="Z8:AB8"/>
    <mergeCell ref="V26:X26"/>
    <mergeCell ref="Z26:AB26"/>
    <mergeCell ref="B8:D8"/>
    <mergeCell ref="F8:H8"/>
    <mergeCell ref="J8:L8"/>
    <mergeCell ref="N8:P8"/>
    <mergeCell ref="R8:T8"/>
    <mergeCell ref="V8:X8"/>
    <mergeCell ref="B26:D26"/>
    <mergeCell ref="F26:H26"/>
    <mergeCell ref="J26:L26"/>
    <mergeCell ref="N26:P26"/>
    <mergeCell ref="R26:T26"/>
    <mergeCell ref="Z27:AA27"/>
    <mergeCell ref="B28:C28"/>
    <mergeCell ref="F28:G28"/>
    <mergeCell ref="J28:K28"/>
    <mergeCell ref="N28:O28"/>
    <mergeCell ref="R28:S28"/>
    <mergeCell ref="V28:W28"/>
    <mergeCell ref="Z28:AA28"/>
    <mergeCell ref="B27:C27"/>
    <mergeCell ref="F27:G27"/>
    <mergeCell ref="J27:K27"/>
    <mergeCell ref="N27:O27"/>
    <mergeCell ref="R27:S27"/>
    <mergeCell ref="V27:W27"/>
    <mergeCell ref="Z29:AA29"/>
    <mergeCell ref="B29:C29"/>
    <mergeCell ref="F29:G29"/>
    <mergeCell ref="J29:K29"/>
    <mergeCell ref="N29:O29"/>
    <mergeCell ref="R29:S29"/>
    <mergeCell ref="V29:W2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workbookViewId="0">
      <selection activeCell="M9" sqref="M9"/>
    </sheetView>
  </sheetViews>
  <sheetFormatPr defaultRowHeight="14.65"/>
  <cols>
    <col min="2" max="2" width="13.7109375" bestFit="1" customWidth="1"/>
    <col min="5" max="5" width="13.5703125" bestFit="1" customWidth="1"/>
  </cols>
  <sheetData>
    <row r="1" spans="1:5">
      <c r="A1" s="2" t="s">
        <v>25</v>
      </c>
      <c r="B1" s="3">
        <v>2.8</v>
      </c>
      <c r="C1" s="1"/>
      <c r="D1" s="1"/>
      <c r="E1" s="1"/>
    </row>
    <row r="2" spans="1:5">
      <c r="A2" s="2" t="s">
        <v>26</v>
      </c>
      <c r="B2" s="3">
        <v>4.0995901639344297</v>
      </c>
      <c r="C2" s="1"/>
      <c r="D2" s="1"/>
      <c r="E2" s="1"/>
    </row>
    <row r="3" spans="1:5">
      <c r="A3" s="4" t="s">
        <v>27</v>
      </c>
      <c r="B3" s="1"/>
      <c r="C3" s="1"/>
      <c r="D3" s="1"/>
      <c r="E3" s="1"/>
    </row>
    <row r="5" spans="1:5">
      <c r="A5" s="5" t="s">
        <v>28</v>
      </c>
      <c r="B5" s="5" t="s">
        <v>29</v>
      </c>
      <c r="C5" s="1"/>
      <c r="D5" s="5" t="s">
        <v>28</v>
      </c>
      <c r="E5" s="5" t="s">
        <v>30</v>
      </c>
    </row>
    <row r="6" spans="1:5">
      <c r="A6" s="6">
        <v>0</v>
      </c>
      <c r="B6" s="7">
        <v>0.42300426124454599</v>
      </c>
      <c r="C6" s="1"/>
      <c r="D6" s="6">
        <v>0</v>
      </c>
      <c r="E6" s="7">
        <v>3.3585220525820398</v>
      </c>
    </row>
    <row r="7" spans="1:5">
      <c r="A7" s="6">
        <v>1</v>
      </c>
      <c r="B7" s="7">
        <v>0.49948859673558998</v>
      </c>
      <c r="C7" s="1"/>
      <c r="D7" s="6">
        <v>1</v>
      </c>
      <c r="E7" s="7">
        <v>0.992007585402777</v>
      </c>
    </row>
    <row r="8" spans="1:5">
      <c r="A8" s="6">
        <v>2</v>
      </c>
      <c r="B8" s="7">
        <v>0.120958931657348</v>
      </c>
      <c r="C8" s="1"/>
      <c r="D8" s="6">
        <v>2</v>
      </c>
      <c r="E8" s="7">
        <v>-0.51360981034597597</v>
      </c>
    </row>
    <row r="9" spans="1:5">
      <c r="A9" s="6">
        <v>3</v>
      </c>
      <c r="B9" s="7">
        <v>-1.12915923908232E-2</v>
      </c>
      <c r="C9" s="1"/>
      <c r="D9" s="6">
        <v>3</v>
      </c>
      <c r="E9" s="7">
        <v>0.42537410742159798</v>
      </c>
    </row>
    <row r="10" spans="1:5">
      <c r="A10" s="6">
        <v>4</v>
      </c>
      <c r="B10" s="7">
        <v>-1.35757684176135E-2</v>
      </c>
      <c r="C10" s="1"/>
      <c r="D10" s="6">
        <v>4</v>
      </c>
      <c r="E10" s="7">
        <v>-0.36106470950179398</v>
      </c>
    </row>
    <row r="11" spans="1:5">
      <c r="A11" s="6">
        <v>5</v>
      </c>
      <c r="B11" s="7">
        <v>-1.50121928350042E-3</v>
      </c>
      <c r="C11" s="1"/>
      <c r="D11" s="6">
        <v>5</v>
      </c>
      <c r="E11" s="7">
        <v>0.31411746622631098</v>
      </c>
    </row>
    <row r="12" spans="1:5">
      <c r="A12" s="6">
        <v>6</v>
      </c>
      <c r="B12" s="7">
        <v>-4.1321675822243503E-3</v>
      </c>
      <c r="C12" s="1"/>
      <c r="D12" s="6">
        <v>6</v>
      </c>
      <c r="E12" s="7">
        <v>-0.25701719082865399</v>
      </c>
    </row>
    <row r="13" spans="1:5">
      <c r="A13" s="6">
        <v>7</v>
      </c>
      <c r="B13" s="7">
        <v>-1.04979259889331E-2</v>
      </c>
      <c r="C13" s="1"/>
      <c r="D13" s="6">
        <v>7</v>
      </c>
      <c r="E13" s="7">
        <v>0.23498131227926</v>
      </c>
    </row>
    <row r="14" spans="1:5">
      <c r="A14" s="6">
        <v>8</v>
      </c>
      <c r="B14" s="7">
        <v>-6.35341354977716E-3</v>
      </c>
      <c r="C14" s="1"/>
      <c r="D14" s="6">
        <v>8</v>
      </c>
      <c r="E14" s="7">
        <v>-0.192484778034726</v>
      </c>
    </row>
    <row r="15" spans="1:5">
      <c r="A15" s="6">
        <v>9</v>
      </c>
      <c r="B15" s="7">
        <v>-8.0181699043879902E-4</v>
      </c>
      <c r="C15" s="1"/>
      <c r="D15" s="6">
        <v>9</v>
      </c>
      <c r="E15" s="7">
        <v>0.17692738857295801</v>
      </c>
    </row>
    <row r="16" spans="1:5">
      <c r="A16" s="6">
        <v>10</v>
      </c>
      <c r="B16" s="7">
        <v>-2.2682473578776699E-3</v>
      </c>
      <c r="C16" s="1"/>
      <c r="D16" s="6">
        <v>10</v>
      </c>
      <c r="E16" s="7">
        <v>-0.14881369113605999</v>
      </c>
    </row>
    <row r="17" spans="1:5">
      <c r="A17" s="6">
        <v>11</v>
      </c>
      <c r="B17" s="7">
        <v>-6.3645086856157098E-6</v>
      </c>
      <c r="C17" s="1"/>
      <c r="D17" s="6">
        <v>11</v>
      </c>
      <c r="E17" s="7">
        <v>0.12133692155968499</v>
      </c>
    </row>
    <row r="18" spans="1:5">
      <c r="A18" s="6">
        <v>12</v>
      </c>
      <c r="B18" s="7">
        <v>4.50625289432844E-3</v>
      </c>
      <c r="C18" s="1"/>
      <c r="D18" s="6">
        <v>12</v>
      </c>
      <c r="E18" s="7">
        <v>-9.6598691745412094E-2</v>
      </c>
    </row>
    <row r="19" spans="1:5">
      <c r="A19" s="6">
        <v>13</v>
      </c>
      <c r="B19" s="7">
        <v>6.0236359718304697E-3</v>
      </c>
      <c r="C19" s="1"/>
      <c r="D19" s="6">
        <v>13</v>
      </c>
      <c r="E19" s="7">
        <v>7.9374851405203006E-2</v>
      </c>
    </row>
    <row r="20" spans="1:5">
      <c r="A20" s="6">
        <v>14</v>
      </c>
      <c r="B20" s="7">
        <v>2.31370791940568E-3</v>
      </c>
      <c r="C20" s="1"/>
      <c r="D20" s="6">
        <v>14</v>
      </c>
      <c r="E20" s="7">
        <v>-6.00508599956193E-2</v>
      </c>
    </row>
    <row r="21" spans="1:5">
      <c r="A21" s="6">
        <v>15</v>
      </c>
      <c r="B21" s="7">
        <v>-7.0452564341541601E-4</v>
      </c>
      <c r="C21" s="1"/>
      <c r="D21" s="6">
        <v>15</v>
      </c>
      <c r="E21" s="7">
        <v>4.7839314963345002E-2</v>
      </c>
    </row>
    <row r="22" spans="1:5">
      <c r="A22" s="6">
        <v>16</v>
      </c>
      <c r="B22" s="7">
        <v>-2.2450562590734498E-3</v>
      </c>
      <c r="C22" s="1"/>
      <c r="D22" s="6">
        <v>16</v>
      </c>
      <c r="E22" s="7">
        <v>-3.7664140037305199E-2</v>
      </c>
    </row>
    <row r="23" spans="1:5">
      <c r="A23" s="6">
        <v>17</v>
      </c>
      <c r="B23" s="7">
        <v>-2.0430506032975701E-3</v>
      </c>
      <c r="C23" s="1"/>
      <c r="D23" s="6">
        <v>17</v>
      </c>
      <c r="E23" s="7">
        <v>2.7742953861458999E-2</v>
      </c>
    </row>
    <row r="24" spans="1:5">
      <c r="A24" s="6">
        <v>18</v>
      </c>
      <c r="B24" s="7">
        <v>-1.5822211530641501E-3</v>
      </c>
      <c r="C24" s="1"/>
      <c r="D24" s="6">
        <v>18</v>
      </c>
      <c r="E24" s="7">
        <v>-2.0880258198906099E-2</v>
      </c>
    </row>
    <row r="25" spans="1:5">
      <c r="A25" s="6">
        <v>19</v>
      </c>
      <c r="B25" s="7">
        <v>-9.9228408561344295E-4</v>
      </c>
      <c r="C25" s="1"/>
      <c r="D25" s="6">
        <v>19</v>
      </c>
      <c r="E25" s="7">
        <v>1.5172127229465499E-2</v>
      </c>
    </row>
    <row r="26" spans="1:5">
      <c r="A26" s="6">
        <v>20</v>
      </c>
      <c r="B26" s="7">
        <v>4.20170472073563E-4</v>
      </c>
      <c r="C26" s="1"/>
      <c r="D26" s="6">
        <v>20</v>
      </c>
      <c r="E26" s="7">
        <v>-9.4265191862055193E-3</v>
      </c>
    </row>
    <row r="27" spans="1:5">
      <c r="A27" s="6">
        <v>21</v>
      </c>
      <c r="B27" s="7">
        <v>7.1180327534777605E-4</v>
      </c>
      <c r="C27" s="1"/>
      <c r="D27" s="6">
        <v>21</v>
      </c>
      <c r="E27" s="7">
        <v>6.2967761188739103E-3</v>
      </c>
    </row>
    <row r="28" spans="1:5">
      <c r="A28" s="6">
        <v>22</v>
      </c>
      <c r="B28" s="7">
        <v>6.7893530528258098E-4</v>
      </c>
      <c r="C28" s="1"/>
      <c r="D28" s="6">
        <v>22</v>
      </c>
      <c r="E28" s="7">
        <v>-2.97765195206233E-3</v>
      </c>
    </row>
    <row r="29" spans="1:5">
      <c r="A29" s="1"/>
      <c r="B29" s="1"/>
      <c r="C29" s="1"/>
      <c r="D29" s="6">
        <v>23</v>
      </c>
      <c r="E29" s="7">
        <v>1.0002708168653899E-3</v>
      </c>
    </row>
    <row r="30" spans="1:5">
      <c r="A30" s="1"/>
      <c r="B30" s="1"/>
      <c r="C30" s="1"/>
      <c r="D30" s="6">
        <v>24</v>
      </c>
      <c r="E30" s="7">
        <v>-5.3588093365005795E-4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374732CC697B4DBEE332A0F9A0D402" ma:contentTypeVersion="22" ma:contentTypeDescription="Create a new document." ma:contentTypeScope="" ma:versionID="37709e870130e7f07bef3ecf95a18f16">
  <xsd:schema xmlns:xsd="http://www.w3.org/2001/XMLSchema" xmlns:xs="http://www.w3.org/2001/XMLSchema" xmlns:p="http://schemas.microsoft.com/office/2006/metadata/properties" xmlns:ns2="71f2bcdf-b919-4e72-ac41-7f47d8bc1e5b" xmlns:ns3="36f3e818-3c3c-4059-b43f-85d6fe5a4907" targetNamespace="http://schemas.microsoft.com/office/2006/metadata/properties" ma:root="true" ma:fieldsID="0bb7d2c6fbfb434b035613252b6cb182" ns2:_="" ns3:_="">
    <xsd:import namespace="71f2bcdf-b919-4e72-ac41-7f47d8bc1e5b"/>
    <xsd:import namespace="36f3e818-3c3c-4059-b43f-85d6fe5a49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BuySheet_x003a_https_x003a__x002f__x002f_livemanchesterac_x002d_my_x002e_sharepoint_x002e_com_x002f__x003a_x_x003a__x002f_g_x002f_personal_x002f_horea_gribovschi_student_manchester_ac_uk_x002f_EXa8nefdUV1JrKoXbfCBC3UBM_cxCZTgJ2ZVvmQFXwQ8Nw_x003f_e_x003d_eAZuEa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f2bcdf-b919-4e72-ac41-7f47d8bc1e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d63537c-d192-4dc4-bb87-a5632b1c76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BuySheet_x003a_https_x003a__x002f__x002f_livemanchesterac_x002d_my_x002e_sharepoint_x002e_com_x002f__x003a_x_x003a__x002f_g_x002f_personal_x002f_horea_gribovschi_student_manchester_ac_uk_x002f_EXa8nefdUV1JrKoXbfCBC3UBM_cxCZTgJ2ZVvmQFXwQ8Nw_x003f_e_x003d_eAZuEa" ma:index="23" nillable="true" ma:displayName="Buy Sheet: https://livemanchesterac-my.sharepoint.com/:x:/g/personal/horea_gribovschi_student_manchester_ac_uk/EXa8nefdUV1JrKoXbfCBC3UBM_cxCZTgJ2ZVvmQFXwQ8Nw?e=eAZuEa" ma:format="Dropdown" ma:internalName="BuySheet_x003a_https_x003a__x002f__x002f_livemanchesterac_x002d_my_x002e_sharepoint_x002e_com_x002f__x003a_x_x003a__x002f_g_x002f_personal_x002f_horea_gribovschi_student_manchester_ac_uk_x002f_EXa8nefdUV1JrKoXbfCBC3UBM_cxCZTgJ2ZVvmQFXwQ8Nw_x003f_e_x003d_eAZuEa">
      <xsd:simpleType>
        <xsd:restriction base="dms:Text">
          <xsd:maxLength value="255"/>
        </xsd:restriction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f3e818-3c3c-4059-b43f-85d6fe5a490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f3ddbc6-141b-4488-857c-12ace2d96740}" ma:internalName="TaxCatchAll" ma:showField="CatchAllData" ma:web="36f3e818-3c3c-4059-b43f-85d6fe5a49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6f3e818-3c3c-4059-b43f-85d6fe5a4907" xsi:nil="true"/>
    <lcf76f155ced4ddcb4097134ff3c332f xmlns="71f2bcdf-b919-4e72-ac41-7f47d8bc1e5b">
      <Terms xmlns="http://schemas.microsoft.com/office/infopath/2007/PartnerControls"/>
    </lcf76f155ced4ddcb4097134ff3c332f>
    <BuySheet_x003a_https_x003a__x002f__x002f_livemanchesterac_x002d_my_x002e_sharepoint_x002e_com_x002f__x003a_x_x003a__x002f_g_x002f_personal_x002f_horea_gribovschi_student_manchester_ac_uk_x002f_EXa8nefdUV1JrKoXbfCBC3UBM_cxCZTgJ2ZVvmQFXwQ8Nw_x003f_e_x003d_eAZuEa xmlns="71f2bcdf-b919-4e72-ac41-7f47d8bc1e5b" xsi:nil="true"/>
  </documentManagement>
</p:properties>
</file>

<file path=customXml/itemProps1.xml><?xml version="1.0" encoding="utf-8"?>
<ds:datastoreItem xmlns:ds="http://schemas.openxmlformats.org/officeDocument/2006/customXml" ds:itemID="{FD022393-629A-40A3-884E-625A3BDEBB94}"/>
</file>

<file path=customXml/itemProps2.xml><?xml version="1.0" encoding="utf-8"?>
<ds:datastoreItem xmlns:ds="http://schemas.openxmlformats.org/officeDocument/2006/customXml" ds:itemID="{0B7574B7-9C54-484B-A890-683EC6A5C5D8}"/>
</file>

<file path=customXml/itemProps3.xml><?xml version="1.0" encoding="utf-8"?>
<ds:datastoreItem xmlns:ds="http://schemas.openxmlformats.org/officeDocument/2006/customXml" ds:itemID="{97A19C06-7F18-4CF5-932B-47CA5DBA97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Sebastian</dc:creator>
  <cp:keywords/>
  <dc:description/>
  <cp:lastModifiedBy>Tom Wilkinson</cp:lastModifiedBy>
  <cp:revision/>
  <dcterms:created xsi:type="dcterms:W3CDTF">2015-06-05T18:17:20Z</dcterms:created>
  <dcterms:modified xsi:type="dcterms:W3CDTF">2026-08-12T14:22:36Z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0x01010057374732CC697B4DBEE332A0F9A0D402</vt:lpwstr>
  </property>
  <property fmtid="{D5CDD505-2E9C-101B-9397-08002B2CF9AE}" pid="3" name="MediaServiceImageTags">
    <vt:lpwstr/>
  </property>
</Properties>
</file>